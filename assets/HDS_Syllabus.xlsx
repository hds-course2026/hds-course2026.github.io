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tables/table3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imeline" sheetId="1" state="visible" r:id="rId3"/>
    <sheet name="Section Summary" sheetId="2" state="visible" r:id="rId4"/>
    <sheet name="Curriculum Units" sheetId="3" state="visible" r:id="rId5"/>
    <sheet name="Change Log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<sst xmlns="http://schemas.openxmlformats.org/spreadsheetml/2006/main" count="489" uniqueCount="249">
  <si>
    <t xml:space="preserve">Revised Course Timeline — 1405/07/04 to 1405/10/15</t>
  </si>
  <si>
    <t xml:space="preserve">Regular classes meet Sundays and Tuesdays. Quiz dates are normal teaching dates: new material is taught in the regular class, while the quiz is held separately at another time on the same date. Midterm and final are outside the regular class-date timeline.</t>
  </si>
  <si>
    <t xml:space="preserve">Meeting</t>
  </si>
  <si>
    <t xml:space="preserve">Week</t>
  </si>
  <si>
    <t xml:space="preserve">Jalali Date</t>
  </si>
  <si>
    <t xml:space="preserve">Section</t>
  </si>
  <si>
    <t xml:space="preserve">Topic(s)</t>
  </si>
  <si>
    <t xml:space="preserve">Book Chapter(s)</t>
  </si>
  <si>
    <t xml:space="preserve">Assessment / Deadline</t>
  </si>
  <si>
    <t xml:space="preserve">1405/07/05</t>
  </si>
  <si>
    <t xml:space="preserve">Section 1</t>
  </si>
  <si>
    <t xml:space="preserve">• Introduction &amp; Importance of High-Dimensional Estimation (Sparse Recovery Example)</t>
  </si>
  <si>
    <t xml:space="preserve">1</t>
  </si>
  <si>
    <t xml:space="preserve">1405/07/07</t>
  </si>
  <si>
    <t xml:space="preserve">• Basic Upper Bounds (Markov, Chernoff &amp; Hoeffding)
• Sub-Gaussian Random Variables</t>
  </si>
  <si>
    <t xml:space="preserve">`</t>
  </si>
  <si>
    <t xml:space="preserve">1405/07/12</t>
  </si>
  <si>
    <t xml:space="preserve">• Sub-Exponential Random Variables</t>
  </si>
  <si>
    <t xml:space="preserve">2</t>
  </si>
  <si>
    <t xml:space="preserve">1405/07/14</t>
  </si>
  <si>
    <t xml:space="preserve">• Moment-Based Bounds (Bernstein)</t>
  </si>
  <si>
    <t xml:space="preserve">1405/07/19</t>
  </si>
  <si>
    <t xml:space="preserve">• Concentration for Lipschitz Functions around their Mean (1)</t>
  </si>
  <si>
    <t xml:space="preserve">1405/07/21</t>
  </si>
  <si>
    <t xml:space="preserve">• Concentration for Lipschitz Functions around their Mean (2)</t>
  </si>
  <si>
    <t xml:space="preserve">1405/07/26</t>
  </si>
  <si>
    <t xml:space="preserve">• Concentration for Functions of Gaussian Random Variables</t>
  </si>
  <si>
    <t xml:space="preserve">1405/07/28</t>
  </si>
  <si>
    <t xml:space="preserve">Section 2</t>
  </si>
  <si>
    <t xml:space="preserve">• Intro to Sparse Recovery &amp; Restricted Nullspace Property</t>
  </si>
  <si>
    <t xml:space="preserve">7</t>
  </si>
  <si>
    <t xml:space="preserve">Section 1 Quiz</t>
  </si>
  <si>
    <t xml:space="preserve">1405/08/03</t>
  </si>
  <si>
    <t xml:space="preserve">• Intro to Mutual Incoherence Condition</t>
  </si>
  <si>
    <t xml:space="preserve">1405/08/05</t>
  </si>
  <si>
    <t xml:space="preserve">• Intro to Restricted Isometry Property (RIP)</t>
  </si>
  <si>
    <t xml:space="preserve">1405/08/10</t>
  </si>
  <si>
    <t xml:space="preserve">• Random Design Matrices that Satisfy RIP</t>
  </si>
  <si>
    <t xml:space="preserve">5, 7</t>
  </si>
  <si>
    <t xml:space="preserve">1405/08/12</t>
  </si>
  <si>
    <t xml:space="preserve">• Sparse Recovery Conditions: Comparison, Guarantees &amp; Worked Examples</t>
  </si>
  <si>
    <t xml:space="preserve">1405/08/17</t>
  </si>
  <si>
    <t xml:space="preserve">Section 3</t>
  </si>
  <si>
    <t xml:space="preserve">• Intro to Lower Bounds – Hypothesis-Testing-Based Bounds</t>
  </si>
  <si>
    <t xml:space="preserve">15</t>
  </si>
  <si>
    <t xml:space="preserve">Section 2 Quiz</t>
  </si>
  <si>
    <t xml:space="preserve">1405/08/19</t>
  </si>
  <si>
    <t xml:space="preserve">• Distribution Distance Metrics &amp; Relations – Binary Testing and Le Cam’s Method</t>
  </si>
  <si>
    <t xml:space="preserve">1405/08/24</t>
  </si>
  <si>
    <t xml:space="preserve">• Le Cam’s Method (Part 2)
• Le Cam’s Method (Part 3)</t>
  </si>
  <si>
    <t xml:space="preserve">15 / 15</t>
  </si>
  <si>
    <t xml:space="preserve">1405/08/26</t>
  </si>
  <si>
    <t xml:space="preserve">• Le Cam’s Method (Part 4)</t>
  </si>
  <si>
    <t xml:space="preserve">1405/09/01</t>
  </si>
  <si>
    <t xml:space="preserve">• Fano’s Inequality (Part 1)</t>
  </si>
  <si>
    <t xml:space="preserve">1405/09/03</t>
  </si>
  <si>
    <t xml:space="preserve">• Fano’s Inequality (Part 2)</t>
  </si>
  <si>
    <t xml:space="preserve">1405/09/08</t>
  </si>
  <si>
    <t xml:space="preserve">• Minimax Lower Bounds: Le Cam vs. Fano – Selection Strategy &amp; Worked Examples</t>
  </si>
  <si>
    <t xml:space="preserve">1405/09/10</t>
  </si>
  <si>
    <t xml:space="preserve">Section 4</t>
  </si>
  <si>
    <t xml:space="preserve">• Concentration of Covariance Estimator around its Mean (1)</t>
  </si>
  <si>
    <t xml:space="preserve">6</t>
  </si>
  <si>
    <t xml:space="preserve">Section 3 Quiz</t>
  </si>
  <si>
    <t xml:space="preserve">1405/09/15</t>
  </si>
  <si>
    <t xml:space="preserve">• Concentration of Covariance Estimator around its Mean (2)</t>
  </si>
  <si>
    <t xml:space="preserve">1405/09/17</t>
  </si>
  <si>
    <t xml:space="preserve">• Concentration of Covariance Estimator around its Mean (3)</t>
  </si>
  <si>
    <t xml:space="preserve">5, 6</t>
  </si>
  <si>
    <t xml:space="preserve">1405/09/22</t>
  </si>
  <si>
    <t xml:space="preserve">• Concentration of Covariance Estimator around its Mean (4)</t>
  </si>
  <si>
    <t xml:space="preserve">1405/09/24</t>
  </si>
  <si>
    <t xml:space="preserve">• Concentration of Covariance Estimator around its Mean (5)</t>
  </si>
  <si>
    <t xml:space="preserve">1405/09/29</t>
  </si>
  <si>
    <t xml:space="preserve">• Covariance Estimation: High-Dimensional Applications &amp; Problem-Solving Review</t>
  </si>
  <si>
    <t xml:space="preserve">1405/10/01</t>
  </si>
  <si>
    <t xml:space="preserve">Section 5</t>
  </si>
  <si>
    <t xml:space="preserve">• Uniform Learnability &amp; the Glivenko–Cantelli Theorem</t>
  </si>
  <si>
    <t xml:space="preserve">4</t>
  </si>
  <si>
    <t xml:space="preserve">Section 4 Quiz — separate time; regular class still held</t>
  </si>
  <si>
    <t xml:space="preserve">1405/10/06</t>
  </si>
  <si>
    <t xml:space="preserve">• Rademacher Complexity (Part 1)</t>
  </si>
  <si>
    <t xml:space="preserve">1405/10/08</t>
  </si>
  <si>
    <t xml:space="preserve">• Rademacher Complexity (Part 2)</t>
  </si>
  <si>
    <t xml:space="preserve">1405/10/13</t>
  </si>
  <si>
    <t xml:space="preserve">• Upper Bounds on Rademacher Complexity (Part 1)
• Upper Bounds on Rademacher Complexity (Part 2)</t>
  </si>
  <si>
    <t xml:space="preserve">4 / 4</t>
  </si>
  <si>
    <t xml:space="preserve">1405/10/15</t>
  </si>
  <si>
    <t xml:space="preserve">• Generalization Bounds via Rademacher Complexity – Synthesis &amp; Worked Examples</t>
  </si>
  <si>
    <t xml:space="preserve">Section 5 Quiz</t>
  </si>
  <si>
    <t xml:space="preserve">Section &amp; Assessment Summary</t>
  </si>
  <si>
    <t xml:space="preserve">Calendar metric</t>
  </si>
  <si>
    <t xml:space="preserve">Value</t>
  </si>
  <si>
    <t xml:space="preserve">Sunday/Tuesday dates in course window</t>
  </si>
  <si>
    <t xml:space="preserve">Active teaching units</t>
  </si>
  <si>
    <t xml:space="preserve">Section quizzes</t>
  </si>
  <si>
    <t xml:space="preserve">Exams outside class timeline</t>
  </si>
  <si>
    <t xml:space="preserve">Double-topic class dates</t>
  </si>
  <si>
    <t xml:space="preserve">Original Units</t>
  </si>
  <si>
    <t xml:space="preserve">Removed</t>
  </si>
  <si>
    <t xml:space="preserve">Added</t>
  </si>
  <si>
    <t xml:space="preserve">Revised Units</t>
  </si>
  <si>
    <t xml:space="preserve">Calendar Teaching Dates</t>
  </si>
  <si>
    <t xml:space="preserve">Quiz — Jalali</t>
  </si>
  <si>
    <t xml:space="preserve">Quiz — Gregorian</t>
  </si>
  <si>
    <t xml:space="preserve">Key Milestone</t>
  </si>
  <si>
    <t xml:space="preserve">Gregorian Date</t>
  </si>
  <si>
    <t xml:space="preserve">Time</t>
  </si>
  <si>
    <t xml:space="preserve">Coverage / Note</t>
  </si>
  <si>
    <t xml:space="preserve">Midterm Exam</t>
  </si>
  <si>
    <t xml:space="preserve">Not specified</t>
  </si>
  <si>
    <t xml:space="preserve">TBD</t>
  </si>
  <si>
    <t xml:space="preserve">Covers HW 1 &amp; 2 topics; not a regular class date.</t>
  </si>
  <si>
    <t xml:space="preserve">Separate from class</t>
  </si>
  <si>
    <t xml:space="preserve">Regular Section 5 class is still held on this date.</t>
  </si>
  <si>
    <t xml:space="preserve">Final Exam</t>
  </si>
  <si>
    <t xml:space="preserve">1405/10/27</t>
  </si>
  <si>
    <t xml:space="preserve">15:00</t>
  </si>
  <si>
    <t xml:space="preserve">Covers post-midterm material; not a regular class date.</t>
  </si>
  <si>
    <t xml:space="preserve">Curriculum Units — Active, Added, and Removed</t>
  </si>
  <si>
    <t xml:space="preserve">Unit ID</t>
  </si>
  <si>
    <t xml:space="preserve">Status</t>
  </si>
  <si>
    <t xml:space="preserve">Topic</t>
  </si>
  <si>
    <t xml:space="preserve">Book Chapter</t>
  </si>
  <si>
    <t xml:space="preserve">Scheduled Meeting</t>
  </si>
  <si>
    <t xml:space="preserve">Scheduling Note</t>
  </si>
  <si>
    <t xml:space="preserve">U01</t>
  </si>
  <si>
    <t xml:space="preserve">Original</t>
  </si>
  <si>
    <t xml:space="preserve">Introduction &amp; Importance of High-Dimensional Estimation (Sparse Recovery Example)</t>
  </si>
  <si>
    <t xml:space="preserve">U02</t>
  </si>
  <si>
    <t xml:space="preserve">Basic Upper Bounds (Markov, Chernoff &amp; Hoeffding)</t>
  </si>
  <si>
    <t xml:space="preserve">Combined teaching date</t>
  </si>
  <si>
    <t xml:space="preserve">U03</t>
  </si>
  <si>
    <t xml:space="preserve">Sub-Gaussian Random Variables</t>
  </si>
  <si>
    <t xml:space="preserve">U04</t>
  </si>
  <si>
    <t xml:space="preserve">Sub-Exponential Random Variables</t>
  </si>
  <si>
    <t xml:space="preserve">U05</t>
  </si>
  <si>
    <t xml:space="preserve">Moment-Based Bounds (Bernstein)</t>
  </si>
  <si>
    <t xml:space="preserve">U06</t>
  </si>
  <si>
    <t xml:space="preserve">Concentration for Lipschitz Functions around their Mean (1)</t>
  </si>
  <si>
    <t xml:space="preserve">U07</t>
  </si>
  <si>
    <t xml:space="preserve">Concentration for Lipschitz Functions around their Mean (2)</t>
  </si>
  <si>
    <t xml:space="preserve">U08</t>
  </si>
  <si>
    <t xml:space="preserve">Concentration for Functions of Gaussian Random Variables</t>
  </si>
  <si>
    <t xml:space="preserve">U09</t>
  </si>
  <si>
    <t xml:space="preserve">Intro to Sparse Recovery &amp; Restricted Nullspace Property</t>
  </si>
  <si>
    <t xml:space="preserve">Quiz also held separately on this date</t>
  </si>
  <si>
    <t xml:space="preserve">U10</t>
  </si>
  <si>
    <t xml:space="preserve">Intro to Mutual Incoherence Condition</t>
  </si>
  <si>
    <t xml:space="preserve">U11</t>
  </si>
  <si>
    <t xml:space="preserve">Intro to Restricted Isometry Property (RIP)</t>
  </si>
  <si>
    <t xml:space="preserve">U12</t>
  </si>
  <si>
    <t xml:space="preserve">Random Design Matrices that Satisfy RIP</t>
  </si>
  <si>
    <t xml:space="preserve">U13</t>
  </si>
  <si>
    <t xml:space="preserve">Sparse Recovery Conditions: Comparison, Guarantees &amp; Worked Examples</t>
  </si>
  <si>
    <t xml:space="preserve">New session added per request</t>
  </si>
  <si>
    <t xml:space="preserve">U14</t>
  </si>
  <si>
    <t xml:space="preserve">Intro to Lower Bounds – Hypothesis-Testing-Based Bounds</t>
  </si>
  <si>
    <t xml:space="preserve">U15</t>
  </si>
  <si>
    <t xml:space="preserve">Distribution Distance Metrics &amp; Relations – Binary Testing and Le Cam’s Method</t>
  </si>
  <si>
    <t xml:space="preserve">U16</t>
  </si>
  <si>
    <t xml:space="preserve">Le Cam’s Method (Part 2)</t>
  </si>
  <si>
    <t xml:space="preserve">U17</t>
  </si>
  <si>
    <t xml:space="preserve">Le Cam’s Method (Part 3)</t>
  </si>
  <si>
    <t xml:space="preserve">U18</t>
  </si>
  <si>
    <t xml:space="preserve">Le Cam’s Method (Part 4)</t>
  </si>
  <si>
    <t xml:space="preserve">U19</t>
  </si>
  <si>
    <t xml:space="preserve">Fano’s Inequality (Part 1)</t>
  </si>
  <si>
    <t xml:space="preserve">U20</t>
  </si>
  <si>
    <t xml:space="preserve">Fano’s Inequality (Part 2)</t>
  </si>
  <si>
    <t xml:space="preserve">U21</t>
  </si>
  <si>
    <t xml:space="preserve">Minimax Lower Bounds: Le Cam vs. Fano – Selection Strategy &amp; Worked Examples</t>
  </si>
  <si>
    <t xml:space="preserve">U22</t>
  </si>
  <si>
    <t xml:space="preserve">Concentration of Covariance Estimator around its Mean (1)</t>
  </si>
  <si>
    <t xml:space="preserve">U23</t>
  </si>
  <si>
    <t xml:space="preserve">Concentration of Covariance Estimator around its Mean (2)</t>
  </si>
  <si>
    <t xml:space="preserve">U24</t>
  </si>
  <si>
    <t xml:space="preserve">Concentration of Covariance Estimator around its Mean (3)</t>
  </si>
  <si>
    <t xml:space="preserve">U25</t>
  </si>
  <si>
    <t xml:space="preserve">Concentration of Covariance Estimator around its Mean (4)</t>
  </si>
  <si>
    <t xml:space="preserve">U26</t>
  </si>
  <si>
    <t xml:space="preserve">Concentration of Covariance Estimator around its Mean (5)</t>
  </si>
  <si>
    <t xml:space="preserve">U27</t>
  </si>
  <si>
    <t xml:space="preserve">Covariance Estimation: High-Dimensional Applications &amp; Problem-Solving Review</t>
  </si>
  <si>
    <t xml:space="preserve">U28</t>
  </si>
  <si>
    <t xml:space="preserve">Uniform Learnability &amp; the Glivenko–Cantelli Theorem</t>
  </si>
  <si>
    <t xml:space="preserve">U29</t>
  </si>
  <si>
    <t xml:space="preserve">Rademacher Complexity (Part 1)</t>
  </si>
  <si>
    <t xml:space="preserve">U30</t>
  </si>
  <si>
    <t xml:space="preserve">Rademacher Complexity (Part 2)</t>
  </si>
  <si>
    <t xml:space="preserve">U31</t>
  </si>
  <si>
    <t xml:space="preserve">Upper Bounds on Rademacher Complexity (Part 1)</t>
  </si>
  <si>
    <t xml:space="preserve">U32</t>
  </si>
  <si>
    <t xml:space="preserve">Upper Bounds on Rademacher Complexity (Part 2)</t>
  </si>
  <si>
    <t xml:space="preserve">U33</t>
  </si>
  <si>
    <t xml:space="preserve">Generalization Bounds via Rademacher Complexity – Synthesis &amp; Worked Examples</t>
  </si>
  <si>
    <t xml:space="preserve">New session added per request; Quiz also held separately on this date</t>
  </si>
  <si>
    <t xml:space="preserve">R01</t>
  </si>
  <si>
    <t xml:space="preserve">Single-Step Discretization Upper Bound for Sub-Gaussian Processes</t>
  </si>
  <si>
    <t xml:space="preserve">5</t>
  </si>
  <si>
    <t xml:space="preserve">Removed as one of the final three original sessions</t>
  </si>
  <si>
    <t xml:space="preserve">R02</t>
  </si>
  <si>
    <t xml:space="preserve">Make-up Class: Chaining &amp; Dudley Integral (Part 1)</t>
  </si>
  <si>
    <t xml:space="preserve">R03</t>
  </si>
  <si>
    <t xml:space="preserve">Make-up Class: Chaining &amp; Dudley Integral (Part 2)</t>
  </si>
  <si>
    <t xml:space="preserve">Revision Notes &amp; Release Assumptions</t>
  </si>
  <si>
    <t xml:space="preserve">Type</t>
  </si>
  <si>
    <t xml:space="preserve">Item</t>
  </si>
  <si>
    <t xml:space="preserve">Result</t>
  </si>
  <si>
    <t xml:space="preserve">Rationale / Note</t>
  </si>
  <si>
    <t xml:space="preserve">Calendar</t>
  </si>
  <si>
    <t xml:space="preserve">Course window</t>
  </si>
  <si>
    <t xml:space="preserve">4 Mehr 1405 to 15 Dey 1405</t>
  </si>
  <si>
    <t xml:space="preserve">Regular Sunday/Tuesday classes run from 5 Mehr through 15 Dey.</t>
  </si>
  <si>
    <t xml:space="preserve">Meeting days</t>
  </si>
  <si>
    <t xml:space="preserve">Sundays and Tuesdays</t>
  </si>
  <si>
    <t xml:space="preserve">All 30 regular class dates contain teaching.</t>
  </si>
  <si>
    <t xml:space="preserve">Original final session 1</t>
  </si>
  <si>
    <t xml:space="preserve">Removed.</t>
  </si>
  <si>
    <t xml:space="preserve">Original final session 2</t>
  </si>
  <si>
    <t xml:space="preserve">Original final session 3</t>
  </si>
  <si>
    <t xml:space="preserve">One added curriculum session.</t>
  </si>
  <si>
    <t xml:space="preserve">Assessment</t>
  </si>
  <si>
    <t xml:space="preserve">Quizzes are not class sessions</t>
  </si>
  <si>
    <t xml:space="preserve">A quiz is held at a separate time on its listed date; the normal class and new material still occur that day.</t>
  </si>
  <si>
    <t xml:space="preserve">Quiz 1</t>
  </si>
  <si>
    <t xml:space="preserve">28 Mehr 1405 / 2026-10-20</t>
  </si>
  <si>
    <t xml:space="preserve">Held separately while Section 2 teaching begins in the regular class.</t>
  </si>
  <si>
    <t xml:space="preserve">Quiz 2</t>
  </si>
  <si>
    <t xml:space="preserve">17 Aban 1405 / 2026-11-08</t>
  </si>
  <si>
    <t xml:space="preserve">Held separately while Section 3 teaching begins in the regular class.</t>
  </si>
  <si>
    <t xml:space="preserve">Quiz 3</t>
  </si>
  <si>
    <t xml:space="preserve">10 Azar 1405 / 2026-12-01</t>
  </si>
  <si>
    <t xml:space="preserve">Held separately while Section 4 teaching begins in the regular class.</t>
  </si>
  <si>
    <t xml:space="preserve">Quiz 4</t>
  </si>
  <si>
    <t xml:space="preserve">1 Dey 1405 / 2026-12-22</t>
  </si>
  <si>
    <t xml:space="preserve">Held separately while Section 5 teaching begins in the regular class.</t>
  </si>
  <si>
    <t xml:space="preserve">Quiz 5</t>
  </si>
  <si>
    <t xml:space="preserve">15 Dey 1405 / 2027-01-05</t>
  </si>
  <si>
    <t xml:space="preserve">Held separately from the regular class on the final class date.</t>
  </si>
  <si>
    <t xml:space="preserve">Midterm</t>
  </si>
  <si>
    <t xml:space="preserve">Date not specified</t>
  </si>
  <si>
    <t xml:space="preserve">Kept outside the regular class-date timeline.</t>
  </si>
  <si>
    <t xml:space="preserve">Final</t>
  </si>
  <si>
    <t xml:space="preserve">27 Dey 1405 / 2027-01-17 at 15:00</t>
  </si>
  <si>
    <t xml:space="preserve">Scheduling</t>
  </si>
  <si>
    <t xml:space="preserve">Combined teaching dates</t>
  </si>
  <si>
    <t xml:space="preserve">3 dates carry two closely related curriculum units</t>
  </si>
  <si>
    <t xml:space="preserve">Only three combinations are needed because quiz dates no longer consume teaching sessions.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</si>
</sst>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13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6"/>
      <color rgb="FFFFFFFF"/>
      <name val="Calibri"/>
      <family val="0"/>
      <charset val="1"/>
    </font>
    <font>
      <i val="true"/>
      <sz val="11"/>
      <color rgb="FF1F2937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7F6000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i val="true"/>
      <sz val="11"/>
      <color rgb="FF7F1D1D"/>
      <name val="Calibri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7365D"/>
        <bgColor rgb="FF1F2937"/>
      </patternFill>
    </fill>
    <fill>
      <patternFill patternType="solid">
        <fgColor rgb="FFD9EAF7"/>
        <bgColor rgb="FFEAF2F8"/>
      </patternFill>
    </fill>
    <fill>
      <patternFill patternType="solid">
        <fgColor rgb="FF2F75B5"/>
        <bgColor rgb="FF0066CC"/>
      </patternFill>
    </fill>
    <fill>
      <patternFill patternType="solid">
        <fgColor rgb="FFEAF2F8"/>
        <bgColor rgb="FFE8F5E9"/>
      </patternFill>
    </fill>
    <fill>
      <patternFill patternType="solid">
        <fgColor rgb="FFE8F5E9"/>
        <bgColor rgb="FFEAF2F8"/>
      </patternFill>
    </fill>
    <fill>
      <patternFill patternType="solid">
        <fgColor rgb="FFFFF2CC"/>
        <bgColor rgb="FFFFF4E5"/>
      </patternFill>
    </fill>
    <fill>
      <patternFill patternType="solid">
        <fgColor rgb="FFFFF4E5"/>
        <bgColor rgb="FFFDECEC"/>
      </patternFill>
    </fill>
    <fill>
      <patternFill patternType="solid">
        <fgColor rgb="FFF3E8FF"/>
        <bgColor rgb="FFFDECEC"/>
      </patternFill>
    </fill>
    <fill>
      <patternFill patternType="solid">
        <fgColor rgb="FFFDECEC"/>
        <bgColor rgb="FFFFF4E5"/>
      </patternFill>
    </fill>
    <fill>
      <patternFill patternType="solid">
        <fgColor rgb="FFE2F0D9"/>
        <bgColor rgb="FFE8F5E9"/>
      </patternFill>
    </fill>
    <fill>
      <patternFill patternType="solid">
        <fgColor rgb="FFF4CCCC"/>
        <bgColor rgb="FFD9D9D9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5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5" borderId="0" xfId="2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6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7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8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9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10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5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6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6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8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8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9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9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1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1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2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4" fillId="0" borderId="0" xfId="2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4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11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11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4" fillId="11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2" fillId="12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12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12" fillId="12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17">
    <dxf>
      <fill>
        <patternFill patternType="solid">
          <fgColor rgb="FF2F75B5"/>
          <bgColor rgb="FF000000"/>
        </patternFill>
      </fill>
    </dxf>
    <dxf>
      <fill>
        <patternFill patternType="solid">
          <fgColor rgb="FFE8F5E9"/>
          <bgColor rgb="FF000000"/>
        </patternFill>
      </fill>
    </dxf>
    <dxf>
      <fill>
        <patternFill patternType="solid">
          <fgColor rgb="FFEAF2F8"/>
          <bgColor rgb="FF000000"/>
        </patternFill>
      </fill>
    </dxf>
    <dxf>
      <fill>
        <patternFill patternType="solid">
          <fgColor rgb="FFF3E8FF"/>
          <bgColor rgb="FF000000"/>
        </patternFill>
      </fill>
    </dxf>
    <dxf>
      <fill>
        <patternFill patternType="solid">
          <fgColor rgb="FFFDECEC"/>
          <bgColor rgb="FF000000"/>
        </patternFill>
      </fill>
    </dxf>
    <dxf>
      <fill>
        <patternFill patternType="solid">
          <fgColor rgb="FFFFF4E5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7365D"/>
          <bgColor rgb="FF000000"/>
        </patternFill>
      </fill>
    </dxf>
    <dxf>
      <fill>
        <patternFill patternType="solid">
          <fgColor rgb="FFD9EAF7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7F6000"/>
          <bgColor rgb="FF000000"/>
        </patternFill>
      </fill>
    </dxf>
    <dxf>
      <font>
        <b val="1"/>
      </font>
      <fill>
        <patternFill>
          <bgColor rgb="FFFCE4D6"/>
        </patternFill>
      </fill>
    </dxf>
    <dxf>
      <font>
        <b val="1"/>
      </font>
      <fill>
        <patternFill>
          <bgColor rgb="FFFFF2CC"/>
        </patternFill>
      </fill>
    </dxf>
    <dxf>
      <fill>
        <patternFill patternType="solid">
          <fgColor rgb="FFE2F0D9"/>
          <bgColor rgb="FF000000"/>
        </patternFill>
      </fill>
    </dxf>
    <dxf>
      <fill>
        <patternFill patternType="solid">
          <fgColor rgb="FFF4CCCC"/>
          <bgColor rgb="FF000000"/>
        </patternFill>
      </fill>
    </dxf>
    <dxf>
      <fill>
        <patternFill patternType="solid">
          <fgColor rgb="FF7F1D1D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DECEC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CCCCCC"/>
      <rgbColor rgb="FF8B8B8B"/>
      <rgbColor rgb="FF9999FF"/>
      <rgbColor rgb="FF993366"/>
      <rgbColor rgb="FFFFF2CC"/>
      <rgbColor rgb="FFD9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E2F0D9"/>
      <rgbColor rgb="FFFFF4E5"/>
      <rgbColor rgb="FFEAF2F8"/>
      <rgbColor rgb="FFFCE4D6"/>
      <rgbColor rgb="FFF3E8FF"/>
      <rgbColor rgb="FFF4CCCC"/>
      <rgbColor rgb="FF2F75B5"/>
      <rgbColor rgb="FF33CCCC"/>
      <rgbColor rgb="FF99CC00"/>
      <rgbColor rgb="FFFFCC00"/>
      <rgbColor rgb="FFFF9900"/>
      <rgbColor rgb="FFE97132"/>
      <rgbColor rgb="FF666699"/>
      <rgbColor rgb="FF969696"/>
      <rgbColor rgb="FF17365D"/>
      <rgbColor rgb="FF339966"/>
      <rgbColor rgb="FF003300"/>
      <rgbColor rgb="FF333300"/>
      <rgbColor rgb="FF7F1D1D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  <a:ea typeface="Calibri"/>
              </a:rPr>
              <a:t>Revised Teaching Units by Section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"Revised Units"</c:f>
              <c:strCache>
                <c:ptCount val="1"/>
                <c:pt idx="0">
                  <c:v>Revised Units</c:v>
                </c:pt>
              </c:strCache>
            </c:strRef>
          </c:tx>
          <c:spPr>
            <a:solidFill>
              <a:srgbClr val="E9713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'Section Summary'!$A$12:$A$16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'Section Summary'!$E$12:$E$16</c:f>
              <c:numCache>
                <c:formatCode>General</c:formatCode>
                <c:ptCount val="5"/>
                <c:pt idx="0">
                  <c:v>8</c:v>
                </c:pt>
                <c:pt idx="1">
                  <c:v>5</c:v>
                </c:pt>
                <c:pt idx="2">
                  <c:v>8</c:v>
                </c:pt>
                <c:pt idx="3">
                  <c:v>6</c:v>
                </c:pt>
                <c:pt idx="4">
                  <c:v>6</c:v>
                </c:pt>
              </c:numCache>
            </c:numRef>
          </c:val>
        </c:ser>
        <c:gapWidth val="150"/>
        <c:overlap val="0"/>
        <c:axId val="38889032"/>
        <c:axId val="4010294"/>
      </c:barChart>
      <c:catAx>
        <c:axId val="38889032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4010294"/>
        <c:crosses val="autoZero"/>
        <c:auto val="1"/>
        <c:lblAlgn val="ctr"/>
        <c:lblOffset val="100"/>
        <c:noMultiLvlLbl val="0"/>
      </c:catAx>
      <c:valAx>
        <c:axId val="4010294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3888903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2</xdr:row>
      <xdr:rowOff>0</xdr:rowOff>
    </xdr:from>
    <xdr:to>
      <xdr:col>16</xdr:col>
      <xdr:colOff>611280</xdr:colOff>
      <xdr:row>17</xdr:row>
      <xdr:rowOff>190440</xdr:rowOff>
    </xdr:to>
    <xdr:graphicFrame>
      <xdr:nvGraphicFramePr>
        <xdr:cNvPr id="1" name="Chart"/>
        <xdr:cNvGraphicFramePr/>
      </xdr:nvGraphicFramePr>
      <xdr:xfrm>
        <a:off x="12030120" y="546120"/>
        <a:ext cx="4891680" cy="3047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ChangeLogTable" displayName="ChangeLogTable" ref="A3:D17" headerRowCount="1" totalsRowCount="0" totalsRowShown="0">
  <tableColumns count="4">
    <tableColumn id="1" name="Type"/>
    <tableColumn id="2" name="Item"/>
    <tableColumn id="3" name="Result"/>
    <tableColumn id="4" name="Rationale / Note"/>
  </tableColumns>
</table>
</file>

<file path=xl/tables/table2.xml><?xml version="1.0" encoding="utf-8"?>
<table xmlns="http://schemas.openxmlformats.org/spreadsheetml/2006/main" id="2" name="CurriculumTable" displayName="CurriculumTable" ref="A3:I39" headerRowCount="1" totalsRowCount="0" totalsRowShown="0">
  <tableColumns count="9">
    <tableColumn id="1" name="Unit ID"/>
    <tableColumn id="2" name="Section"/>
    <tableColumn id="3" name="Status"/>
    <tableColumn id="4" name="Topic"/>
    <tableColumn id="5" name="Book Chapter"/>
    <tableColumn id="6" name="Scheduled Meeting"/>
    <tableColumn id="7" name="Jalali Date"/>
    <tableColumn id="8" name="Gregorian Date"/>
    <tableColumn id="9" name="Scheduling Note"/>
  </tableColumns>
</table>
</file>

<file path=xl/tables/table3.xml><?xml version="1.0" encoding="utf-8"?>
<table xmlns="http://schemas.openxmlformats.org/spreadsheetml/2006/main" id="3" name="TimelineTable" displayName="TimelineTable" ref="A4:M34" headerRowCount="1" totalsRowCount="0" totalsRowShown="0">
  <tableColumns count="13">
    <tableColumn id="1" name="Meeting"/>
    <tableColumn id="2" name="Week"/>
    <tableColumn id="3" name="Session"/>
    <tableColumn id="4" name="Jalali Date"/>
    <tableColumn id="5" name="Section"/>
    <tableColumn id="6" name="Topic(s)"/>
    <tableColumn id="7" name="Book Chapter(s)"/>
    <tableColumn id="8" name="Assessment / Deadline"/>
    <tableColumn id="9" name="Curriculum Unit(s)"/>
    <tableColumn id="10" name="Topic(s)2"/>
    <tableColumn id="11" name="Book Chapter(s)2"/>
    <tableColumn id="12" name="Assessment / Deadline2"/>
    <tableColumn id="13" name="Teaching Units"/>
  </tableColumns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4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J6" activeCellId="0" sqref="J6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7"/>
    <col collapsed="false" customWidth="true" hidden="false" outlineLevel="0" max="3" min="3" style="0" width="8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48"/>
    <col collapsed="false" customWidth="true" hidden="false" outlineLevel="0" max="7" min="7" style="0" width="16"/>
    <col collapsed="false" customWidth="true" hidden="false" outlineLevel="0" max="8" min="8" style="0" width="34"/>
    <col collapsed="false" customWidth="true" hidden="false" outlineLevel="0" max="9" min="9" style="0" width="16"/>
    <col collapsed="false" customWidth="true" hidden="false" outlineLevel="0" max="10" min="10" style="0" width="48"/>
    <col collapsed="false" customWidth="true" hidden="false" outlineLevel="0" max="11" min="11" style="0" width="16"/>
    <col collapsed="false" customWidth="true" hidden="false" outlineLevel="0" max="12" min="12" style="0" width="34"/>
    <col collapsed="false" customWidth="true" hidden="false" outlineLevel="0" max="13" min="13" style="0" width="13"/>
  </cols>
  <sheetData>
    <row r="1" customFormat="false" ht="28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3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34" hidden="false" customHeight="true" outlineLevel="0" collapsed="false">
      <c r="A4" s="3" t="s">
        <v>2</v>
      </c>
      <c r="B4" s="3" t="s">
        <v>3</v>
      </c>
      <c r="C4" s="3"/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M4" s="3"/>
    </row>
    <row r="5" customFormat="false" ht="30" hidden="false" customHeight="true" outlineLevel="0" collapsed="false">
      <c r="A5" s="4" t="n">
        <v>1</v>
      </c>
      <c r="B5" s="4" t="n">
        <v>1</v>
      </c>
      <c r="C5" s="4"/>
      <c r="D5" s="4" t="s">
        <v>9</v>
      </c>
      <c r="E5" s="4" t="s">
        <v>10</v>
      </c>
      <c r="F5" s="4" t="s">
        <v>11</v>
      </c>
      <c r="G5" s="4" t="s">
        <v>12</v>
      </c>
      <c r="H5" s="4"/>
      <c r="M5" s="4"/>
    </row>
    <row r="6" customFormat="false" ht="46" hidden="false" customHeight="true" outlineLevel="0" collapsed="false">
      <c r="A6" s="4" t="n">
        <v>2</v>
      </c>
      <c r="B6" s="4" t="n">
        <v>1</v>
      </c>
      <c r="C6" s="4"/>
      <c r="D6" s="4" t="s">
        <v>13</v>
      </c>
      <c r="E6" s="4" t="s">
        <v>10</v>
      </c>
      <c r="F6" s="4" t="s">
        <v>14</v>
      </c>
      <c r="G6" s="5" t="n">
        <v>2</v>
      </c>
      <c r="H6" s="4"/>
      <c r="J6" s="0" t="s">
        <v>15</v>
      </c>
      <c r="M6" s="4"/>
    </row>
    <row r="7" customFormat="false" ht="30" hidden="false" customHeight="true" outlineLevel="0" collapsed="false">
      <c r="A7" s="4" t="n">
        <v>3</v>
      </c>
      <c r="B7" s="4" t="n">
        <v>2</v>
      </c>
      <c r="C7" s="4"/>
      <c r="D7" s="4" t="s">
        <v>16</v>
      </c>
      <c r="E7" s="4" t="s">
        <v>10</v>
      </c>
      <c r="F7" s="4" t="s">
        <v>17</v>
      </c>
      <c r="G7" s="4" t="s">
        <v>18</v>
      </c>
      <c r="H7" s="4"/>
      <c r="M7" s="4"/>
    </row>
    <row r="8" customFormat="false" ht="30" hidden="false" customHeight="true" outlineLevel="0" collapsed="false">
      <c r="A8" s="4" t="n">
        <v>4</v>
      </c>
      <c r="B8" s="4" t="n">
        <v>2</v>
      </c>
      <c r="C8" s="4"/>
      <c r="D8" s="4" t="s">
        <v>19</v>
      </c>
      <c r="E8" s="4" t="s">
        <v>10</v>
      </c>
      <c r="F8" s="4" t="s">
        <v>20</v>
      </c>
      <c r="G8" s="4" t="s">
        <v>18</v>
      </c>
      <c r="H8" s="4"/>
      <c r="M8" s="4"/>
    </row>
    <row r="9" customFormat="false" ht="30" hidden="false" customHeight="true" outlineLevel="0" collapsed="false">
      <c r="A9" s="4" t="n">
        <v>5</v>
      </c>
      <c r="B9" s="4" t="n">
        <v>3</v>
      </c>
      <c r="C9" s="4"/>
      <c r="D9" s="4" t="s">
        <v>21</v>
      </c>
      <c r="E9" s="4" t="s">
        <v>10</v>
      </c>
      <c r="F9" s="4" t="s">
        <v>22</v>
      </c>
      <c r="G9" s="4" t="s">
        <v>18</v>
      </c>
      <c r="H9" s="4"/>
      <c r="M9" s="4"/>
    </row>
    <row r="10" customFormat="false" ht="30" hidden="false" customHeight="true" outlineLevel="0" collapsed="false">
      <c r="A10" s="4" t="n">
        <v>6</v>
      </c>
      <c r="B10" s="4" t="n">
        <v>3</v>
      </c>
      <c r="C10" s="4"/>
      <c r="D10" s="4" t="s">
        <v>23</v>
      </c>
      <c r="E10" s="4" t="s">
        <v>10</v>
      </c>
      <c r="F10" s="4" t="s">
        <v>24</v>
      </c>
      <c r="G10" s="4" t="s">
        <v>18</v>
      </c>
      <c r="H10" s="4"/>
      <c r="M10" s="4"/>
    </row>
    <row r="11" customFormat="false" ht="30" hidden="false" customHeight="true" outlineLevel="0" collapsed="false">
      <c r="A11" s="4" t="n">
        <v>7</v>
      </c>
      <c r="B11" s="4" t="n">
        <v>4</v>
      </c>
      <c r="C11" s="4"/>
      <c r="D11" s="4" t="s">
        <v>25</v>
      </c>
      <c r="E11" s="4" t="s">
        <v>10</v>
      </c>
      <c r="F11" s="4" t="s">
        <v>26</v>
      </c>
      <c r="G11" s="4" t="s">
        <v>18</v>
      </c>
      <c r="H11" s="4"/>
      <c r="M11" s="4"/>
    </row>
    <row r="12" customFormat="false" ht="30" hidden="false" customHeight="true" outlineLevel="0" collapsed="false">
      <c r="A12" s="6" t="n">
        <v>8</v>
      </c>
      <c r="B12" s="6" t="n">
        <v>4</v>
      </c>
      <c r="C12" s="6"/>
      <c r="D12" s="6" t="s">
        <v>27</v>
      </c>
      <c r="E12" s="6" t="s">
        <v>28</v>
      </c>
      <c r="F12" s="6" t="s">
        <v>29</v>
      </c>
      <c r="G12" s="6" t="s">
        <v>30</v>
      </c>
      <c r="H12" s="7" t="s">
        <v>31</v>
      </c>
      <c r="M12" s="6"/>
    </row>
    <row r="13" customFormat="false" ht="30" hidden="false" customHeight="true" outlineLevel="0" collapsed="false">
      <c r="A13" s="6" t="n">
        <v>9</v>
      </c>
      <c r="B13" s="6" t="n">
        <v>5</v>
      </c>
      <c r="C13" s="6"/>
      <c r="D13" s="6" t="s">
        <v>32</v>
      </c>
      <c r="E13" s="6" t="s">
        <v>28</v>
      </c>
      <c r="F13" s="6" t="s">
        <v>33</v>
      </c>
      <c r="G13" s="6" t="s">
        <v>30</v>
      </c>
      <c r="H13" s="6"/>
      <c r="M13" s="6"/>
    </row>
    <row r="14" customFormat="false" ht="30" hidden="false" customHeight="true" outlineLevel="0" collapsed="false">
      <c r="A14" s="6" t="n">
        <v>10</v>
      </c>
      <c r="B14" s="6" t="n">
        <v>5</v>
      </c>
      <c r="C14" s="6"/>
      <c r="D14" s="6" t="s">
        <v>34</v>
      </c>
      <c r="E14" s="6" t="s">
        <v>28</v>
      </c>
      <c r="F14" s="6" t="s">
        <v>35</v>
      </c>
      <c r="G14" s="6" t="s">
        <v>30</v>
      </c>
      <c r="H14" s="6"/>
      <c r="M14" s="6"/>
    </row>
    <row r="15" customFormat="false" ht="30" hidden="false" customHeight="true" outlineLevel="0" collapsed="false">
      <c r="A15" s="6" t="n">
        <v>11</v>
      </c>
      <c r="B15" s="6" t="n">
        <v>6</v>
      </c>
      <c r="C15" s="6"/>
      <c r="D15" s="6" t="s">
        <v>36</v>
      </c>
      <c r="E15" s="6" t="s">
        <v>28</v>
      </c>
      <c r="F15" s="6" t="s">
        <v>37</v>
      </c>
      <c r="G15" s="6" t="s">
        <v>38</v>
      </c>
      <c r="H15" s="6"/>
      <c r="M15" s="6"/>
    </row>
    <row r="16" customFormat="false" ht="30" hidden="false" customHeight="true" outlineLevel="0" collapsed="false">
      <c r="A16" s="6" t="n">
        <v>12</v>
      </c>
      <c r="B16" s="6" t="n">
        <v>6</v>
      </c>
      <c r="C16" s="6"/>
      <c r="D16" s="6" t="s">
        <v>39</v>
      </c>
      <c r="E16" s="6" t="s">
        <v>28</v>
      </c>
      <c r="F16" s="6" t="s">
        <v>40</v>
      </c>
      <c r="G16" s="6" t="s">
        <v>30</v>
      </c>
      <c r="H16" s="6"/>
      <c r="M16" s="6"/>
    </row>
    <row r="17" customFormat="false" ht="30" hidden="false" customHeight="true" outlineLevel="0" collapsed="false">
      <c r="A17" s="8" t="n">
        <v>13</v>
      </c>
      <c r="B17" s="8" t="n">
        <v>7</v>
      </c>
      <c r="C17" s="8"/>
      <c r="D17" s="8" t="s">
        <v>41</v>
      </c>
      <c r="E17" s="8" t="s">
        <v>42</v>
      </c>
      <c r="F17" s="8" t="s">
        <v>43</v>
      </c>
      <c r="G17" s="8" t="s">
        <v>44</v>
      </c>
      <c r="H17" s="7" t="s">
        <v>45</v>
      </c>
      <c r="M17" s="8"/>
    </row>
    <row r="18" customFormat="false" ht="30" hidden="false" customHeight="true" outlineLevel="0" collapsed="false">
      <c r="A18" s="8" t="n">
        <v>14</v>
      </c>
      <c r="B18" s="8" t="n">
        <v>7</v>
      </c>
      <c r="C18" s="8"/>
      <c r="D18" s="8" t="s">
        <v>46</v>
      </c>
      <c r="E18" s="8" t="s">
        <v>42</v>
      </c>
      <c r="F18" s="8" t="s">
        <v>47</v>
      </c>
      <c r="G18" s="8" t="s">
        <v>44</v>
      </c>
      <c r="H18" s="8"/>
      <c r="M18" s="8"/>
    </row>
    <row r="19" customFormat="false" ht="46" hidden="false" customHeight="true" outlineLevel="0" collapsed="false">
      <c r="A19" s="8" t="n">
        <v>15</v>
      </c>
      <c r="B19" s="8" t="n">
        <v>8</v>
      </c>
      <c r="C19" s="8"/>
      <c r="D19" s="8" t="s">
        <v>48</v>
      </c>
      <c r="E19" s="8" t="s">
        <v>42</v>
      </c>
      <c r="F19" s="8" t="s">
        <v>49</v>
      </c>
      <c r="G19" s="8" t="s">
        <v>50</v>
      </c>
      <c r="H19" s="8"/>
      <c r="M19" s="8"/>
    </row>
    <row r="20" customFormat="false" ht="30" hidden="false" customHeight="true" outlineLevel="0" collapsed="false">
      <c r="A20" s="8" t="n">
        <v>16</v>
      </c>
      <c r="B20" s="8" t="n">
        <v>8</v>
      </c>
      <c r="C20" s="8"/>
      <c r="D20" s="8" t="s">
        <v>51</v>
      </c>
      <c r="E20" s="8" t="s">
        <v>42</v>
      </c>
      <c r="F20" s="8" t="s">
        <v>52</v>
      </c>
      <c r="G20" s="8" t="s">
        <v>44</v>
      </c>
      <c r="H20" s="8"/>
      <c r="M20" s="8"/>
    </row>
    <row r="21" customFormat="false" ht="30" hidden="false" customHeight="true" outlineLevel="0" collapsed="false">
      <c r="A21" s="8" t="n">
        <v>17</v>
      </c>
      <c r="B21" s="8" t="n">
        <v>9</v>
      </c>
      <c r="C21" s="8"/>
      <c r="D21" s="8" t="s">
        <v>53</v>
      </c>
      <c r="E21" s="8" t="s">
        <v>42</v>
      </c>
      <c r="F21" s="8" t="s">
        <v>54</v>
      </c>
      <c r="G21" s="8" t="s">
        <v>44</v>
      </c>
      <c r="H21" s="8"/>
      <c r="M21" s="8"/>
    </row>
    <row r="22" customFormat="false" ht="30" hidden="false" customHeight="true" outlineLevel="0" collapsed="false">
      <c r="A22" s="8" t="n">
        <v>18</v>
      </c>
      <c r="B22" s="8" t="n">
        <v>9</v>
      </c>
      <c r="C22" s="8"/>
      <c r="D22" s="8" t="s">
        <v>55</v>
      </c>
      <c r="E22" s="8" t="s">
        <v>42</v>
      </c>
      <c r="F22" s="8" t="s">
        <v>56</v>
      </c>
      <c r="G22" s="8" t="s">
        <v>44</v>
      </c>
      <c r="H22" s="8"/>
      <c r="M22" s="8"/>
    </row>
    <row r="23" customFormat="false" ht="30" hidden="false" customHeight="true" outlineLevel="0" collapsed="false">
      <c r="A23" s="8" t="n">
        <v>19</v>
      </c>
      <c r="B23" s="8" t="n">
        <v>10</v>
      </c>
      <c r="C23" s="8"/>
      <c r="D23" s="8" t="s">
        <v>57</v>
      </c>
      <c r="E23" s="8" t="s">
        <v>42</v>
      </c>
      <c r="F23" s="8" t="s">
        <v>58</v>
      </c>
      <c r="G23" s="8" t="s">
        <v>44</v>
      </c>
      <c r="H23" s="8"/>
      <c r="M23" s="8"/>
    </row>
    <row r="24" customFormat="false" ht="30" hidden="false" customHeight="true" outlineLevel="0" collapsed="false">
      <c r="A24" s="9" t="n">
        <v>20</v>
      </c>
      <c r="B24" s="9" t="n">
        <v>10</v>
      </c>
      <c r="C24" s="9"/>
      <c r="D24" s="9" t="s">
        <v>59</v>
      </c>
      <c r="E24" s="9" t="s">
        <v>60</v>
      </c>
      <c r="F24" s="9" t="s">
        <v>61</v>
      </c>
      <c r="G24" s="9" t="s">
        <v>62</v>
      </c>
      <c r="H24" s="7" t="s">
        <v>63</v>
      </c>
      <c r="M24" s="9"/>
    </row>
    <row r="25" customFormat="false" ht="30" hidden="false" customHeight="true" outlineLevel="0" collapsed="false">
      <c r="A25" s="9" t="n">
        <v>21</v>
      </c>
      <c r="B25" s="9" t="n">
        <v>11</v>
      </c>
      <c r="C25" s="9"/>
      <c r="D25" s="9" t="s">
        <v>64</v>
      </c>
      <c r="E25" s="9" t="s">
        <v>60</v>
      </c>
      <c r="F25" s="9" t="s">
        <v>65</v>
      </c>
      <c r="G25" s="9" t="s">
        <v>62</v>
      </c>
      <c r="H25" s="9"/>
      <c r="M25" s="9"/>
    </row>
    <row r="26" customFormat="false" ht="30" hidden="false" customHeight="true" outlineLevel="0" collapsed="false">
      <c r="A26" s="9" t="n">
        <v>22</v>
      </c>
      <c r="B26" s="9" t="n">
        <v>11</v>
      </c>
      <c r="C26" s="9"/>
      <c r="D26" s="9" t="s">
        <v>66</v>
      </c>
      <c r="E26" s="9" t="s">
        <v>60</v>
      </c>
      <c r="F26" s="9" t="s">
        <v>67</v>
      </c>
      <c r="G26" s="9" t="s">
        <v>68</v>
      </c>
      <c r="H26" s="9"/>
      <c r="M26" s="9"/>
    </row>
    <row r="27" customFormat="false" ht="30" hidden="false" customHeight="true" outlineLevel="0" collapsed="false">
      <c r="A27" s="9" t="n">
        <v>23</v>
      </c>
      <c r="B27" s="9" t="n">
        <v>12</v>
      </c>
      <c r="C27" s="9"/>
      <c r="D27" s="9" t="s">
        <v>69</v>
      </c>
      <c r="E27" s="9" t="s">
        <v>60</v>
      </c>
      <c r="F27" s="9" t="s">
        <v>70</v>
      </c>
      <c r="G27" s="9" t="s">
        <v>68</v>
      </c>
      <c r="H27" s="9"/>
      <c r="M27" s="9"/>
    </row>
    <row r="28" customFormat="false" ht="30" hidden="false" customHeight="true" outlineLevel="0" collapsed="false">
      <c r="A28" s="9" t="n">
        <v>24</v>
      </c>
      <c r="B28" s="9" t="n">
        <v>12</v>
      </c>
      <c r="C28" s="9"/>
      <c r="D28" s="9" t="s">
        <v>71</v>
      </c>
      <c r="E28" s="9" t="s">
        <v>60</v>
      </c>
      <c r="F28" s="9" t="s">
        <v>72</v>
      </c>
      <c r="G28" s="9" t="s">
        <v>68</v>
      </c>
      <c r="H28" s="9"/>
      <c r="M28" s="9"/>
    </row>
    <row r="29" customFormat="false" ht="30" hidden="false" customHeight="true" outlineLevel="0" collapsed="false">
      <c r="A29" s="9" t="n">
        <v>25</v>
      </c>
      <c r="B29" s="9" t="n">
        <v>13</v>
      </c>
      <c r="C29" s="9"/>
      <c r="D29" s="9" t="s">
        <v>73</v>
      </c>
      <c r="E29" s="9" t="s">
        <v>60</v>
      </c>
      <c r="F29" s="9" t="s">
        <v>74</v>
      </c>
      <c r="G29" s="9" t="s">
        <v>68</v>
      </c>
      <c r="H29" s="9"/>
      <c r="M29" s="9"/>
    </row>
    <row r="30" customFormat="false" ht="30" hidden="false" customHeight="true" outlineLevel="0" collapsed="false">
      <c r="A30" s="10" t="n">
        <v>26</v>
      </c>
      <c r="B30" s="10" t="n">
        <v>13</v>
      </c>
      <c r="C30" s="10"/>
      <c r="D30" s="10" t="s">
        <v>75</v>
      </c>
      <c r="E30" s="10" t="s">
        <v>76</v>
      </c>
      <c r="F30" s="10" t="s">
        <v>77</v>
      </c>
      <c r="G30" s="10" t="s">
        <v>78</v>
      </c>
      <c r="H30" s="7" t="s">
        <v>79</v>
      </c>
      <c r="M30" s="10"/>
    </row>
    <row r="31" customFormat="false" ht="30" hidden="false" customHeight="true" outlineLevel="0" collapsed="false">
      <c r="A31" s="10" t="n">
        <v>27</v>
      </c>
      <c r="B31" s="10" t="n">
        <v>14</v>
      </c>
      <c r="C31" s="10"/>
      <c r="D31" s="10" t="s">
        <v>80</v>
      </c>
      <c r="E31" s="10" t="s">
        <v>76</v>
      </c>
      <c r="F31" s="10" t="s">
        <v>81</v>
      </c>
      <c r="G31" s="10" t="s">
        <v>78</v>
      </c>
      <c r="H31" s="10"/>
      <c r="M31" s="10"/>
    </row>
    <row r="32" customFormat="false" ht="30" hidden="false" customHeight="true" outlineLevel="0" collapsed="false">
      <c r="A32" s="10" t="n">
        <v>28</v>
      </c>
      <c r="B32" s="10" t="n">
        <v>14</v>
      </c>
      <c r="C32" s="10"/>
      <c r="D32" s="10" t="s">
        <v>82</v>
      </c>
      <c r="E32" s="10" t="s">
        <v>76</v>
      </c>
      <c r="F32" s="10" t="s">
        <v>83</v>
      </c>
      <c r="G32" s="10" t="s">
        <v>78</v>
      </c>
      <c r="H32" s="10"/>
      <c r="M32" s="10"/>
    </row>
    <row r="33" customFormat="false" ht="46" hidden="false" customHeight="true" outlineLevel="0" collapsed="false">
      <c r="A33" s="10" t="n">
        <v>29</v>
      </c>
      <c r="B33" s="10" t="n">
        <v>15</v>
      </c>
      <c r="C33" s="10"/>
      <c r="D33" s="10" t="s">
        <v>84</v>
      </c>
      <c r="E33" s="10" t="s">
        <v>76</v>
      </c>
      <c r="F33" s="10" t="s">
        <v>85</v>
      </c>
      <c r="G33" s="10" t="s">
        <v>86</v>
      </c>
      <c r="H33" s="10"/>
      <c r="M33" s="10"/>
    </row>
    <row r="34" customFormat="false" ht="30" hidden="false" customHeight="true" outlineLevel="0" collapsed="false">
      <c r="A34" s="10" t="n">
        <v>30</v>
      </c>
      <c r="B34" s="10" t="n">
        <v>15</v>
      </c>
      <c r="C34" s="10"/>
      <c r="D34" s="10" t="s">
        <v>87</v>
      </c>
      <c r="E34" s="10" t="s">
        <v>76</v>
      </c>
      <c r="F34" s="10" t="s">
        <v>88</v>
      </c>
      <c r="G34" s="10" t="s">
        <v>78</v>
      </c>
      <c r="H34" s="7" t="s">
        <v>89</v>
      </c>
      <c r="M34" s="10"/>
    </row>
  </sheetData>
  <mergeCells count="2">
    <mergeCell ref="A1:M1"/>
    <mergeCell ref="A2:M2"/>
  </mergeCells>
  <conditionalFormatting sqref="M5:M34">
    <cfRule type="cellIs" priority="2" operator="greaterThan" aboveAverage="0" equalAverage="0" bottom="0" percent="0" rank="0" text="" dxfId="12">
      <formula>1</formula>
    </cfRule>
  </conditionalFormatting>
  <conditionalFormatting sqref="H5:H34">
    <cfRule type="expression" priority="3" aboveAverage="0" equalAverage="0" bottom="0" percent="0" rank="0" text="" dxfId="13">
      <formula>LEN(H5)&gt;0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6"/>
    <col collapsed="false" customWidth="true" hidden="false" outlineLevel="0" max="4" min="4" style="0" width="14"/>
    <col collapsed="false" customWidth="true" hidden="false" outlineLevel="0" max="5" min="5" style="0" width="38"/>
    <col collapsed="false" customWidth="true" hidden="false" outlineLevel="0" max="6" min="6" style="0" width="22"/>
    <col collapsed="false" customWidth="true" hidden="false" outlineLevel="0" max="8" min="7" style="0" width="16"/>
  </cols>
  <sheetData>
    <row r="1" customFormat="false" ht="28" hidden="false" customHeight="true" outlineLevel="0" collapsed="false">
      <c r="A1" s="11" t="s">
        <v>90</v>
      </c>
      <c r="B1" s="11"/>
      <c r="C1" s="11"/>
      <c r="D1" s="11"/>
      <c r="E1" s="11"/>
      <c r="F1" s="11"/>
      <c r="G1" s="11"/>
      <c r="H1" s="11"/>
    </row>
    <row r="3" customFormat="false" ht="15" hidden="false" customHeight="false" outlineLevel="0" collapsed="false">
      <c r="A3" s="3" t="s">
        <v>91</v>
      </c>
      <c r="B3" s="3" t="s">
        <v>92</v>
      </c>
    </row>
    <row r="4" customFormat="false" ht="15" hidden="false" customHeight="false" outlineLevel="0" collapsed="false">
      <c r="A4" s="12" t="s">
        <v>93</v>
      </c>
      <c r="B4" s="13" t="n">
        <f aca="false">COUNTA(Timeline!A5:A34)</f>
        <v>30</v>
      </c>
    </row>
    <row r="5" customFormat="false" ht="15" hidden="false" customHeight="false" outlineLevel="0" collapsed="false">
      <c r="A5" s="12" t="s">
        <v>94</v>
      </c>
      <c r="B5" s="13" t="n">
        <f aca="false">SUM(Timeline!M5:M34)</f>
        <v>0</v>
      </c>
    </row>
    <row r="6" customFormat="false" ht="15" hidden="false" customHeight="false" outlineLevel="0" collapsed="false">
      <c r="A6" s="12" t="s">
        <v>95</v>
      </c>
      <c r="B6" s="13" t="n">
        <f aca="false">COUNTA(G12:G16)</f>
        <v>5</v>
      </c>
    </row>
    <row r="7" customFormat="false" ht="15" hidden="false" customHeight="false" outlineLevel="0" collapsed="false">
      <c r="A7" s="12" t="s">
        <v>96</v>
      </c>
      <c r="B7" s="13" t="n">
        <v>2</v>
      </c>
    </row>
    <row r="8" customFormat="false" ht="15" hidden="false" customHeight="false" outlineLevel="0" collapsed="false">
      <c r="A8" s="12" t="s">
        <v>97</v>
      </c>
      <c r="B8" s="13" t="n">
        <f aca="false">COUNTIF(Timeline!M5:M34,2)</f>
        <v>0</v>
      </c>
    </row>
    <row r="11" customFormat="false" ht="15" hidden="false" customHeight="false" outlineLevel="0" collapsed="false">
      <c r="A11" s="3" t="s">
        <v>5</v>
      </c>
      <c r="B11" s="3" t="s">
        <v>98</v>
      </c>
      <c r="C11" s="3" t="s">
        <v>99</v>
      </c>
      <c r="D11" s="3" t="s">
        <v>100</v>
      </c>
      <c r="E11" s="3" t="s">
        <v>101</v>
      </c>
      <c r="F11" s="3" t="s">
        <v>102</v>
      </c>
      <c r="G11" s="3" t="s">
        <v>103</v>
      </c>
      <c r="H11" s="3" t="s">
        <v>104</v>
      </c>
    </row>
    <row r="12" customFormat="false" ht="15" hidden="false" customHeight="false" outlineLevel="0" collapsed="false">
      <c r="A12" s="14" t="n">
        <v>1</v>
      </c>
      <c r="B12" s="14" t="n">
        <v>8</v>
      </c>
      <c r="C12" s="14" t="n">
        <v>0</v>
      </c>
      <c r="D12" s="14" t="n">
        <v>0</v>
      </c>
      <c r="E12" s="14" t="n">
        <f aca="false">B12-C12+D12</f>
        <v>8</v>
      </c>
      <c r="F12" s="14" t="n">
        <v>7</v>
      </c>
      <c r="G12" s="14" t="s">
        <v>27</v>
      </c>
      <c r="H12" s="15" t="n">
        <v>46315</v>
      </c>
    </row>
    <row r="13" customFormat="false" ht="15" hidden="false" customHeight="false" outlineLevel="0" collapsed="false">
      <c r="A13" s="16" t="n">
        <v>2</v>
      </c>
      <c r="B13" s="16" t="n">
        <v>4</v>
      </c>
      <c r="C13" s="16" t="n">
        <v>0</v>
      </c>
      <c r="D13" s="16" t="n">
        <v>1</v>
      </c>
      <c r="E13" s="16" t="n">
        <f aca="false">B13-C13+D13</f>
        <v>5</v>
      </c>
      <c r="F13" s="16" t="n">
        <v>5</v>
      </c>
      <c r="G13" s="16" t="s">
        <v>41</v>
      </c>
      <c r="H13" s="17" t="n">
        <v>46334</v>
      </c>
    </row>
    <row r="14" customFormat="false" ht="15" hidden="false" customHeight="false" outlineLevel="0" collapsed="false">
      <c r="A14" s="18" t="n">
        <v>3</v>
      </c>
      <c r="B14" s="18" t="n">
        <v>7</v>
      </c>
      <c r="C14" s="18" t="n">
        <v>0</v>
      </c>
      <c r="D14" s="18" t="n">
        <v>1</v>
      </c>
      <c r="E14" s="18" t="n">
        <f aca="false">B14-C14+D14</f>
        <v>8</v>
      </c>
      <c r="F14" s="18" t="n">
        <v>7</v>
      </c>
      <c r="G14" s="18" t="s">
        <v>59</v>
      </c>
      <c r="H14" s="19" t="n">
        <v>46357</v>
      </c>
    </row>
    <row r="15" customFormat="false" ht="15" hidden="false" customHeight="false" outlineLevel="0" collapsed="false">
      <c r="A15" s="20" t="n">
        <v>4</v>
      </c>
      <c r="B15" s="20" t="n">
        <v>5</v>
      </c>
      <c r="C15" s="20" t="n">
        <v>0</v>
      </c>
      <c r="D15" s="20" t="n">
        <v>1</v>
      </c>
      <c r="E15" s="20" t="n">
        <f aca="false">B15-C15+D15</f>
        <v>6</v>
      </c>
      <c r="F15" s="20" t="n">
        <v>6</v>
      </c>
      <c r="G15" s="20" t="s">
        <v>75</v>
      </c>
      <c r="H15" s="21" t="n">
        <v>46378</v>
      </c>
    </row>
    <row r="16" customFormat="false" ht="15" hidden="false" customHeight="false" outlineLevel="0" collapsed="false">
      <c r="A16" s="22" t="n">
        <v>5</v>
      </c>
      <c r="B16" s="22" t="n">
        <v>8</v>
      </c>
      <c r="C16" s="22" t="n">
        <v>3</v>
      </c>
      <c r="D16" s="22" t="n">
        <v>1</v>
      </c>
      <c r="E16" s="22" t="n">
        <f aca="false">B16-C16+D16</f>
        <v>6</v>
      </c>
      <c r="F16" s="22" t="n">
        <v>5</v>
      </c>
      <c r="G16" s="22" t="s">
        <v>87</v>
      </c>
      <c r="H16" s="23" t="n">
        <v>46392</v>
      </c>
    </row>
    <row r="19" customFormat="false" ht="15" hidden="false" customHeight="false" outlineLevel="0" collapsed="false">
      <c r="A19" s="3" t="s">
        <v>105</v>
      </c>
      <c r="B19" s="3" t="s">
        <v>4</v>
      </c>
      <c r="C19" s="3" t="s">
        <v>106</v>
      </c>
      <c r="D19" s="3" t="s">
        <v>107</v>
      </c>
      <c r="E19" s="3" t="s">
        <v>108</v>
      </c>
    </row>
    <row r="20" customFormat="false" ht="28.35" hidden="false" customHeight="false" outlineLevel="0" collapsed="false">
      <c r="A20" s="24" t="s">
        <v>109</v>
      </c>
      <c r="B20" s="25" t="s">
        <v>110</v>
      </c>
      <c r="C20" s="26"/>
      <c r="D20" s="25" t="s">
        <v>111</v>
      </c>
      <c r="E20" s="24" t="s">
        <v>112</v>
      </c>
    </row>
    <row r="21" customFormat="false" ht="28.35" hidden="false" customHeight="false" outlineLevel="0" collapsed="false">
      <c r="A21" s="24" t="s">
        <v>89</v>
      </c>
      <c r="B21" s="25" t="s">
        <v>87</v>
      </c>
      <c r="C21" s="26" t="n">
        <v>46392</v>
      </c>
      <c r="D21" s="25" t="s">
        <v>113</v>
      </c>
      <c r="E21" s="24" t="s">
        <v>114</v>
      </c>
    </row>
    <row r="22" customFormat="false" ht="28.35" hidden="false" customHeight="false" outlineLevel="0" collapsed="false">
      <c r="A22" s="24" t="s">
        <v>115</v>
      </c>
      <c r="B22" s="24" t="s">
        <v>116</v>
      </c>
      <c r="C22" s="27" t="n">
        <v>46404</v>
      </c>
      <c r="D22" s="24" t="s">
        <v>117</v>
      </c>
      <c r="E22" s="24" t="s">
        <v>118</v>
      </c>
    </row>
  </sheetData>
  <mergeCells count="1">
    <mergeCell ref="A1:H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3" min="2" style="0" width="11"/>
    <col collapsed="false" customWidth="true" hidden="false" outlineLevel="0" max="4" min="4" style="0" width="54"/>
    <col collapsed="false" customWidth="true" hidden="false" outlineLevel="0" max="5" min="5" style="0" width="15"/>
    <col collapsed="false" customWidth="true" hidden="false" outlineLevel="0" max="6" min="6" style="0" width="17"/>
    <col collapsed="false" customWidth="true" hidden="false" outlineLevel="0" max="8" min="7" style="0" width="15"/>
    <col collapsed="false" customWidth="true" hidden="false" outlineLevel="0" max="9" min="9" style="0" width="34"/>
  </cols>
  <sheetData>
    <row r="1" customFormat="false" ht="28" hidden="false" customHeight="true" outlineLevel="0" collapsed="false">
      <c r="A1" s="1" t="s">
        <v>119</v>
      </c>
      <c r="B1" s="1"/>
      <c r="C1" s="1"/>
      <c r="D1" s="1"/>
      <c r="E1" s="1"/>
      <c r="F1" s="1"/>
      <c r="G1" s="1"/>
      <c r="H1" s="1"/>
      <c r="I1" s="1"/>
    </row>
    <row r="3" customFormat="false" ht="28.35" hidden="false" customHeight="false" outlineLevel="0" collapsed="false">
      <c r="A3" s="3" t="s">
        <v>120</v>
      </c>
      <c r="B3" s="3" t="s">
        <v>5</v>
      </c>
      <c r="C3" s="3" t="s">
        <v>121</v>
      </c>
      <c r="D3" s="3" t="s">
        <v>122</v>
      </c>
      <c r="E3" s="3" t="s">
        <v>123</v>
      </c>
      <c r="F3" s="3" t="s">
        <v>124</v>
      </c>
      <c r="G3" s="3" t="s">
        <v>4</v>
      </c>
      <c r="H3" s="3" t="s">
        <v>106</v>
      </c>
      <c r="I3" s="3" t="s">
        <v>125</v>
      </c>
    </row>
    <row r="4" customFormat="false" ht="28.35" hidden="false" customHeight="false" outlineLevel="0" collapsed="false">
      <c r="A4" s="13" t="s">
        <v>126</v>
      </c>
      <c r="B4" s="13" t="s">
        <v>10</v>
      </c>
      <c r="C4" s="13" t="s">
        <v>127</v>
      </c>
      <c r="D4" s="24" t="s">
        <v>128</v>
      </c>
      <c r="E4" s="24" t="s">
        <v>12</v>
      </c>
      <c r="F4" s="24" t="n">
        <v>1</v>
      </c>
      <c r="G4" s="24" t="s">
        <v>9</v>
      </c>
      <c r="H4" s="27" t="n">
        <v>46292</v>
      </c>
      <c r="I4" s="24"/>
    </row>
    <row r="5" customFormat="false" ht="15" hidden="false" customHeight="false" outlineLevel="0" collapsed="false">
      <c r="A5" s="13" t="s">
        <v>129</v>
      </c>
      <c r="B5" s="13" t="s">
        <v>10</v>
      </c>
      <c r="C5" s="13" t="s">
        <v>127</v>
      </c>
      <c r="D5" s="24" t="s">
        <v>130</v>
      </c>
      <c r="E5" s="24" t="s">
        <v>18</v>
      </c>
      <c r="F5" s="24" t="n">
        <v>2</v>
      </c>
      <c r="G5" s="24" t="s">
        <v>13</v>
      </c>
      <c r="H5" s="27" t="n">
        <v>46294</v>
      </c>
      <c r="I5" s="24" t="s">
        <v>131</v>
      </c>
    </row>
    <row r="6" customFormat="false" ht="15" hidden="false" customHeight="false" outlineLevel="0" collapsed="false">
      <c r="A6" s="13" t="s">
        <v>132</v>
      </c>
      <c r="B6" s="13" t="s">
        <v>10</v>
      </c>
      <c r="C6" s="13" t="s">
        <v>127</v>
      </c>
      <c r="D6" s="24" t="s">
        <v>133</v>
      </c>
      <c r="E6" s="24" t="s">
        <v>18</v>
      </c>
      <c r="F6" s="24" t="n">
        <v>2</v>
      </c>
      <c r="G6" s="24" t="s">
        <v>13</v>
      </c>
      <c r="H6" s="27" t="n">
        <v>46294</v>
      </c>
      <c r="I6" s="24" t="s">
        <v>131</v>
      </c>
    </row>
    <row r="7" customFormat="false" ht="15" hidden="false" customHeight="false" outlineLevel="0" collapsed="false">
      <c r="A7" s="13" t="s">
        <v>134</v>
      </c>
      <c r="B7" s="13" t="s">
        <v>10</v>
      </c>
      <c r="C7" s="13" t="s">
        <v>127</v>
      </c>
      <c r="D7" s="24" t="s">
        <v>135</v>
      </c>
      <c r="E7" s="24" t="s">
        <v>18</v>
      </c>
      <c r="F7" s="24" t="n">
        <v>3</v>
      </c>
      <c r="G7" s="24" t="s">
        <v>16</v>
      </c>
      <c r="H7" s="27" t="n">
        <v>46299</v>
      </c>
      <c r="I7" s="24"/>
    </row>
    <row r="8" customFormat="false" ht="15" hidden="false" customHeight="false" outlineLevel="0" collapsed="false">
      <c r="A8" s="13" t="s">
        <v>136</v>
      </c>
      <c r="B8" s="13" t="s">
        <v>10</v>
      </c>
      <c r="C8" s="13" t="s">
        <v>127</v>
      </c>
      <c r="D8" s="24" t="s">
        <v>137</v>
      </c>
      <c r="E8" s="24" t="s">
        <v>18</v>
      </c>
      <c r="F8" s="24" t="n">
        <v>4</v>
      </c>
      <c r="G8" s="24" t="s">
        <v>19</v>
      </c>
      <c r="H8" s="27" t="n">
        <v>46301</v>
      </c>
      <c r="I8" s="24"/>
    </row>
    <row r="9" customFormat="false" ht="15" hidden="false" customHeight="false" outlineLevel="0" collapsed="false">
      <c r="A9" s="13" t="s">
        <v>138</v>
      </c>
      <c r="B9" s="13" t="s">
        <v>10</v>
      </c>
      <c r="C9" s="13" t="s">
        <v>127</v>
      </c>
      <c r="D9" s="24" t="s">
        <v>139</v>
      </c>
      <c r="E9" s="24" t="s">
        <v>18</v>
      </c>
      <c r="F9" s="24" t="n">
        <v>5</v>
      </c>
      <c r="G9" s="24" t="s">
        <v>21</v>
      </c>
      <c r="H9" s="27" t="n">
        <v>46306</v>
      </c>
      <c r="I9" s="24"/>
    </row>
    <row r="10" customFormat="false" ht="15" hidden="false" customHeight="false" outlineLevel="0" collapsed="false">
      <c r="A10" s="13" t="s">
        <v>140</v>
      </c>
      <c r="B10" s="13" t="s">
        <v>10</v>
      </c>
      <c r="C10" s="13" t="s">
        <v>127</v>
      </c>
      <c r="D10" s="24" t="s">
        <v>141</v>
      </c>
      <c r="E10" s="24" t="s">
        <v>18</v>
      </c>
      <c r="F10" s="24" t="n">
        <v>6</v>
      </c>
      <c r="G10" s="24" t="s">
        <v>23</v>
      </c>
      <c r="H10" s="27" t="n">
        <v>46308</v>
      </c>
      <c r="I10" s="24"/>
    </row>
    <row r="11" customFormat="false" ht="15" hidden="false" customHeight="false" outlineLevel="0" collapsed="false">
      <c r="A11" s="13" t="s">
        <v>142</v>
      </c>
      <c r="B11" s="13" t="s">
        <v>10</v>
      </c>
      <c r="C11" s="13" t="s">
        <v>127</v>
      </c>
      <c r="D11" s="24" t="s">
        <v>143</v>
      </c>
      <c r="E11" s="24" t="s">
        <v>18</v>
      </c>
      <c r="F11" s="24" t="n">
        <v>7</v>
      </c>
      <c r="G11" s="24" t="s">
        <v>25</v>
      </c>
      <c r="H11" s="27" t="n">
        <v>46313</v>
      </c>
      <c r="I11" s="24"/>
    </row>
    <row r="12" customFormat="false" ht="15" hidden="false" customHeight="false" outlineLevel="0" collapsed="false">
      <c r="A12" s="13" t="s">
        <v>144</v>
      </c>
      <c r="B12" s="13" t="s">
        <v>28</v>
      </c>
      <c r="C12" s="13" t="s">
        <v>127</v>
      </c>
      <c r="D12" s="24" t="s">
        <v>145</v>
      </c>
      <c r="E12" s="24" t="s">
        <v>30</v>
      </c>
      <c r="F12" s="24" t="n">
        <v>8</v>
      </c>
      <c r="G12" s="24" t="s">
        <v>27</v>
      </c>
      <c r="H12" s="27" t="n">
        <v>46315</v>
      </c>
      <c r="I12" s="24" t="s">
        <v>146</v>
      </c>
    </row>
    <row r="13" customFormat="false" ht="15" hidden="false" customHeight="false" outlineLevel="0" collapsed="false">
      <c r="A13" s="13" t="s">
        <v>147</v>
      </c>
      <c r="B13" s="13" t="s">
        <v>28</v>
      </c>
      <c r="C13" s="13" t="s">
        <v>127</v>
      </c>
      <c r="D13" s="24" t="s">
        <v>148</v>
      </c>
      <c r="E13" s="24" t="s">
        <v>30</v>
      </c>
      <c r="F13" s="24" t="n">
        <v>9</v>
      </c>
      <c r="G13" s="24" t="s">
        <v>32</v>
      </c>
      <c r="H13" s="27" t="n">
        <v>46320</v>
      </c>
      <c r="I13" s="24"/>
    </row>
    <row r="14" customFormat="false" ht="15" hidden="false" customHeight="false" outlineLevel="0" collapsed="false">
      <c r="A14" s="13" t="s">
        <v>149</v>
      </c>
      <c r="B14" s="13" t="s">
        <v>28</v>
      </c>
      <c r="C14" s="13" t="s">
        <v>127</v>
      </c>
      <c r="D14" s="24" t="s">
        <v>150</v>
      </c>
      <c r="E14" s="24" t="s">
        <v>30</v>
      </c>
      <c r="F14" s="24" t="n">
        <v>10</v>
      </c>
      <c r="G14" s="24" t="s">
        <v>34</v>
      </c>
      <c r="H14" s="27" t="n">
        <v>46322</v>
      </c>
      <c r="I14" s="24"/>
    </row>
    <row r="15" customFormat="false" ht="15" hidden="false" customHeight="false" outlineLevel="0" collapsed="false">
      <c r="A15" s="13" t="s">
        <v>151</v>
      </c>
      <c r="B15" s="13" t="s">
        <v>28</v>
      </c>
      <c r="C15" s="13" t="s">
        <v>127</v>
      </c>
      <c r="D15" s="24" t="s">
        <v>152</v>
      </c>
      <c r="E15" s="24" t="s">
        <v>38</v>
      </c>
      <c r="F15" s="24" t="n">
        <v>11</v>
      </c>
      <c r="G15" s="24" t="s">
        <v>36</v>
      </c>
      <c r="H15" s="27" t="n">
        <v>46327</v>
      </c>
      <c r="I15" s="24"/>
    </row>
    <row r="16" customFormat="false" ht="28.35" hidden="false" customHeight="false" outlineLevel="0" collapsed="false">
      <c r="A16" s="28" t="s">
        <v>153</v>
      </c>
      <c r="B16" s="28" t="s">
        <v>28</v>
      </c>
      <c r="C16" s="28" t="s">
        <v>100</v>
      </c>
      <c r="D16" s="29" t="s">
        <v>154</v>
      </c>
      <c r="E16" s="29" t="s">
        <v>30</v>
      </c>
      <c r="F16" s="29" t="n">
        <v>12</v>
      </c>
      <c r="G16" s="29" t="s">
        <v>39</v>
      </c>
      <c r="H16" s="30" t="n">
        <v>46329</v>
      </c>
      <c r="I16" s="29" t="s">
        <v>155</v>
      </c>
    </row>
    <row r="17" customFormat="false" ht="15" hidden="false" customHeight="false" outlineLevel="0" collapsed="false">
      <c r="A17" s="13" t="s">
        <v>156</v>
      </c>
      <c r="B17" s="13" t="s">
        <v>42</v>
      </c>
      <c r="C17" s="13" t="s">
        <v>127</v>
      </c>
      <c r="D17" s="24" t="s">
        <v>157</v>
      </c>
      <c r="E17" s="24" t="s">
        <v>44</v>
      </c>
      <c r="F17" s="24" t="n">
        <v>13</v>
      </c>
      <c r="G17" s="24" t="s">
        <v>41</v>
      </c>
      <c r="H17" s="27" t="n">
        <v>46334</v>
      </c>
      <c r="I17" s="24" t="s">
        <v>146</v>
      </c>
    </row>
    <row r="18" customFormat="false" ht="28.35" hidden="false" customHeight="false" outlineLevel="0" collapsed="false">
      <c r="A18" s="13" t="s">
        <v>158</v>
      </c>
      <c r="B18" s="13" t="s">
        <v>42</v>
      </c>
      <c r="C18" s="13" t="s">
        <v>127</v>
      </c>
      <c r="D18" s="24" t="s">
        <v>159</v>
      </c>
      <c r="E18" s="24" t="s">
        <v>44</v>
      </c>
      <c r="F18" s="24" t="n">
        <v>14</v>
      </c>
      <c r="G18" s="24" t="s">
        <v>46</v>
      </c>
      <c r="H18" s="27" t="n">
        <v>46336</v>
      </c>
      <c r="I18" s="24"/>
    </row>
    <row r="19" customFormat="false" ht="15" hidden="false" customHeight="false" outlineLevel="0" collapsed="false">
      <c r="A19" s="13" t="s">
        <v>160</v>
      </c>
      <c r="B19" s="13" t="s">
        <v>42</v>
      </c>
      <c r="C19" s="13" t="s">
        <v>127</v>
      </c>
      <c r="D19" s="24" t="s">
        <v>161</v>
      </c>
      <c r="E19" s="24" t="s">
        <v>44</v>
      </c>
      <c r="F19" s="24" t="n">
        <v>15</v>
      </c>
      <c r="G19" s="24" t="s">
        <v>48</v>
      </c>
      <c r="H19" s="27" t="n">
        <v>46341</v>
      </c>
      <c r="I19" s="24" t="s">
        <v>131</v>
      </c>
    </row>
    <row r="20" customFormat="false" ht="15" hidden="false" customHeight="false" outlineLevel="0" collapsed="false">
      <c r="A20" s="13" t="s">
        <v>162</v>
      </c>
      <c r="B20" s="13" t="s">
        <v>42</v>
      </c>
      <c r="C20" s="13" t="s">
        <v>127</v>
      </c>
      <c r="D20" s="24" t="s">
        <v>163</v>
      </c>
      <c r="E20" s="24" t="s">
        <v>44</v>
      </c>
      <c r="F20" s="24" t="n">
        <v>15</v>
      </c>
      <c r="G20" s="24" t="s">
        <v>48</v>
      </c>
      <c r="H20" s="27" t="n">
        <v>46341</v>
      </c>
      <c r="I20" s="24" t="s">
        <v>131</v>
      </c>
    </row>
    <row r="21" customFormat="false" ht="15" hidden="false" customHeight="false" outlineLevel="0" collapsed="false">
      <c r="A21" s="13" t="s">
        <v>164</v>
      </c>
      <c r="B21" s="13" t="s">
        <v>42</v>
      </c>
      <c r="C21" s="13" t="s">
        <v>127</v>
      </c>
      <c r="D21" s="24" t="s">
        <v>165</v>
      </c>
      <c r="E21" s="24" t="s">
        <v>44</v>
      </c>
      <c r="F21" s="24" t="n">
        <v>16</v>
      </c>
      <c r="G21" s="24" t="s">
        <v>51</v>
      </c>
      <c r="H21" s="27" t="n">
        <v>46343</v>
      </c>
      <c r="I21" s="24"/>
    </row>
    <row r="22" customFormat="false" ht="15" hidden="false" customHeight="false" outlineLevel="0" collapsed="false">
      <c r="A22" s="13" t="s">
        <v>166</v>
      </c>
      <c r="B22" s="13" t="s">
        <v>42</v>
      </c>
      <c r="C22" s="13" t="s">
        <v>127</v>
      </c>
      <c r="D22" s="24" t="s">
        <v>167</v>
      </c>
      <c r="E22" s="24" t="s">
        <v>44</v>
      </c>
      <c r="F22" s="24" t="n">
        <v>17</v>
      </c>
      <c r="G22" s="24" t="s">
        <v>53</v>
      </c>
      <c r="H22" s="27" t="n">
        <v>46348</v>
      </c>
      <c r="I22" s="24"/>
    </row>
    <row r="23" customFormat="false" ht="15" hidden="false" customHeight="false" outlineLevel="0" collapsed="false">
      <c r="A23" s="13" t="s">
        <v>168</v>
      </c>
      <c r="B23" s="13" t="s">
        <v>42</v>
      </c>
      <c r="C23" s="13" t="s">
        <v>127</v>
      </c>
      <c r="D23" s="24" t="s">
        <v>169</v>
      </c>
      <c r="E23" s="24" t="s">
        <v>44</v>
      </c>
      <c r="F23" s="24" t="n">
        <v>18</v>
      </c>
      <c r="G23" s="24" t="s">
        <v>55</v>
      </c>
      <c r="H23" s="27" t="n">
        <v>46350</v>
      </c>
      <c r="I23" s="24"/>
    </row>
    <row r="24" customFormat="false" ht="28.35" hidden="false" customHeight="false" outlineLevel="0" collapsed="false">
      <c r="A24" s="28" t="s">
        <v>170</v>
      </c>
      <c r="B24" s="28" t="s">
        <v>42</v>
      </c>
      <c r="C24" s="28" t="s">
        <v>100</v>
      </c>
      <c r="D24" s="29" t="s">
        <v>171</v>
      </c>
      <c r="E24" s="29" t="s">
        <v>44</v>
      </c>
      <c r="F24" s="29" t="n">
        <v>19</v>
      </c>
      <c r="G24" s="29" t="s">
        <v>57</v>
      </c>
      <c r="H24" s="30" t="n">
        <v>46355</v>
      </c>
      <c r="I24" s="29" t="s">
        <v>155</v>
      </c>
    </row>
    <row r="25" customFormat="false" ht="15" hidden="false" customHeight="false" outlineLevel="0" collapsed="false">
      <c r="A25" s="13" t="s">
        <v>172</v>
      </c>
      <c r="B25" s="13" t="s">
        <v>60</v>
      </c>
      <c r="C25" s="13" t="s">
        <v>127</v>
      </c>
      <c r="D25" s="24" t="s">
        <v>173</v>
      </c>
      <c r="E25" s="24" t="s">
        <v>62</v>
      </c>
      <c r="F25" s="24" t="n">
        <v>20</v>
      </c>
      <c r="G25" s="24" t="s">
        <v>59</v>
      </c>
      <c r="H25" s="27" t="n">
        <v>46357</v>
      </c>
      <c r="I25" s="24" t="s">
        <v>146</v>
      </c>
    </row>
    <row r="26" customFormat="false" ht="15" hidden="false" customHeight="false" outlineLevel="0" collapsed="false">
      <c r="A26" s="13" t="s">
        <v>174</v>
      </c>
      <c r="B26" s="13" t="s">
        <v>60</v>
      </c>
      <c r="C26" s="13" t="s">
        <v>127</v>
      </c>
      <c r="D26" s="24" t="s">
        <v>175</v>
      </c>
      <c r="E26" s="24" t="s">
        <v>62</v>
      </c>
      <c r="F26" s="24" t="n">
        <v>21</v>
      </c>
      <c r="G26" s="24" t="s">
        <v>64</v>
      </c>
      <c r="H26" s="27" t="n">
        <v>46362</v>
      </c>
      <c r="I26" s="24"/>
    </row>
    <row r="27" customFormat="false" ht="15" hidden="false" customHeight="false" outlineLevel="0" collapsed="false">
      <c r="A27" s="13" t="s">
        <v>176</v>
      </c>
      <c r="B27" s="13" t="s">
        <v>60</v>
      </c>
      <c r="C27" s="13" t="s">
        <v>127</v>
      </c>
      <c r="D27" s="24" t="s">
        <v>177</v>
      </c>
      <c r="E27" s="24" t="s">
        <v>68</v>
      </c>
      <c r="F27" s="24" t="n">
        <v>22</v>
      </c>
      <c r="G27" s="24" t="s">
        <v>66</v>
      </c>
      <c r="H27" s="27" t="n">
        <v>46364</v>
      </c>
      <c r="I27" s="24"/>
    </row>
    <row r="28" customFormat="false" ht="15" hidden="false" customHeight="false" outlineLevel="0" collapsed="false">
      <c r="A28" s="13" t="s">
        <v>178</v>
      </c>
      <c r="B28" s="13" t="s">
        <v>60</v>
      </c>
      <c r="C28" s="13" t="s">
        <v>127</v>
      </c>
      <c r="D28" s="24" t="s">
        <v>179</v>
      </c>
      <c r="E28" s="24" t="s">
        <v>68</v>
      </c>
      <c r="F28" s="24" t="n">
        <v>23</v>
      </c>
      <c r="G28" s="24" t="s">
        <v>69</v>
      </c>
      <c r="H28" s="27" t="n">
        <v>46369</v>
      </c>
      <c r="I28" s="24"/>
    </row>
    <row r="29" customFormat="false" ht="15" hidden="false" customHeight="false" outlineLevel="0" collapsed="false">
      <c r="A29" s="13" t="s">
        <v>180</v>
      </c>
      <c r="B29" s="13" t="s">
        <v>60</v>
      </c>
      <c r="C29" s="13" t="s">
        <v>127</v>
      </c>
      <c r="D29" s="24" t="s">
        <v>181</v>
      </c>
      <c r="E29" s="24" t="s">
        <v>68</v>
      </c>
      <c r="F29" s="24" t="n">
        <v>24</v>
      </c>
      <c r="G29" s="24" t="s">
        <v>71</v>
      </c>
      <c r="H29" s="27" t="n">
        <v>46371</v>
      </c>
      <c r="I29" s="24"/>
    </row>
    <row r="30" customFormat="false" ht="28.35" hidden="false" customHeight="false" outlineLevel="0" collapsed="false">
      <c r="A30" s="28" t="s">
        <v>182</v>
      </c>
      <c r="B30" s="28" t="s">
        <v>60</v>
      </c>
      <c r="C30" s="28" t="s">
        <v>100</v>
      </c>
      <c r="D30" s="29" t="s">
        <v>183</v>
      </c>
      <c r="E30" s="29" t="s">
        <v>68</v>
      </c>
      <c r="F30" s="29" t="n">
        <v>25</v>
      </c>
      <c r="G30" s="29" t="s">
        <v>73</v>
      </c>
      <c r="H30" s="30" t="n">
        <v>46376</v>
      </c>
      <c r="I30" s="29" t="s">
        <v>155</v>
      </c>
    </row>
    <row r="31" customFormat="false" ht="15" hidden="false" customHeight="false" outlineLevel="0" collapsed="false">
      <c r="A31" s="13" t="s">
        <v>184</v>
      </c>
      <c r="B31" s="13" t="s">
        <v>76</v>
      </c>
      <c r="C31" s="13" t="s">
        <v>127</v>
      </c>
      <c r="D31" s="24" t="s">
        <v>185</v>
      </c>
      <c r="E31" s="24" t="s">
        <v>78</v>
      </c>
      <c r="F31" s="24" t="n">
        <v>26</v>
      </c>
      <c r="G31" s="24" t="s">
        <v>75</v>
      </c>
      <c r="H31" s="27" t="n">
        <v>46378</v>
      </c>
      <c r="I31" s="24" t="s">
        <v>146</v>
      </c>
    </row>
    <row r="32" customFormat="false" ht="15" hidden="false" customHeight="false" outlineLevel="0" collapsed="false">
      <c r="A32" s="13" t="s">
        <v>186</v>
      </c>
      <c r="B32" s="13" t="s">
        <v>76</v>
      </c>
      <c r="C32" s="13" t="s">
        <v>127</v>
      </c>
      <c r="D32" s="24" t="s">
        <v>187</v>
      </c>
      <c r="E32" s="24" t="s">
        <v>78</v>
      </c>
      <c r="F32" s="24" t="n">
        <v>27</v>
      </c>
      <c r="G32" s="24" t="s">
        <v>80</v>
      </c>
      <c r="H32" s="27" t="n">
        <v>46383</v>
      </c>
      <c r="I32" s="24"/>
    </row>
    <row r="33" customFormat="false" ht="15" hidden="false" customHeight="false" outlineLevel="0" collapsed="false">
      <c r="A33" s="13" t="s">
        <v>188</v>
      </c>
      <c r="B33" s="13" t="s">
        <v>76</v>
      </c>
      <c r="C33" s="13" t="s">
        <v>127</v>
      </c>
      <c r="D33" s="24" t="s">
        <v>189</v>
      </c>
      <c r="E33" s="24" t="s">
        <v>78</v>
      </c>
      <c r="F33" s="24" t="n">
        <v>28</v>
      </c>
      <c r="G33" s="24" t="s">
        <v>82</v>
      </c>
      <c r="H33" s="27" t="n">
        <v>46385</v>
      </c>
      <c r="I33" s="24"/>
    </row>
    <row r="34" customFormat="false" ht="15" hidden="false" customHeight="false" outlineLevel="0" collapsed="false">
      <c r="A34" s="13" t="s">
        <v>190</v>
      </c>
      <c r="B34" s="13" t="s">
        <v>76</v>
      </c>
      <c r="C34" s="13" t="s">
        <v>127</v>
      </c>
      <c r="D34" s="24" t="s">
        <v>191</v>
      </c>
      <c r="E34" s="24" t="s">
        <v>78</v>
      </c>
      <c r="F34" s="24" t="n">
        <v>29</v>
      </c>
      <c r="G34" s="24" t="s">
        <v>84</v>
      </c>
      <c r="H34" s="27" t="n">
        <v>46390</v>
      </c>
      <c r="I34" s="24" t="s">
        <v>131</v>
      </c>
    </row>
    <row r="35" customFormat="false" ht="15" hidden="false" customHeight="false" outlineLevel="0" collapsed="false">
      <c r="A35" s="13" t="s">
        <v>192</v>
      </c>
      <c r="B35" s="13" t="s">
        <v>76</v>
      </c>
      <c r="C35" s="13" t="s">
        <v>127</v>
      </c>
      <c r="D35" s="24" t="s">
        <v>193</v>
      </c>
      <c r="E35" s="24" t="s">
        <v>78</v>
      </c>
      <c r="F35" s="24" t="n">
        <v>29</v>
      </c>
      <c r="G35" s="24" t="s">
        <v>84</v>
      </c>
      <c r="H35" s="27" t="n">
        <v>46390</v>
      </c>
      <c r="I35" s="24" t="s">
        <v>131</v>
      </c>
    </row>
    <row r="36" customFormat="false" ht="28.35" hidden="false" customHeight="false" outlineLevel="0" collapsed="false">
      <c r="A36" s="28" t="s">
        <v>194</v>
      </c>
      <c r="B36" s="28" t="s">
        <v>76</v>
      </c>
      <c r="C36" s="28" t="s">
        <v>100</v>
      </c>
      <c r="D36" s="29" t="s">
        <v>195</v>
      </c>
      <c r="E36" s="29" t="s">
        <v>78</v>
      </c>
      <c r="F36" s="29" t="n">
        <v>30</v>
      </c>
      <c r="G36" s="29" t="s">
        <v>87</v>
      </c>
      <c r="H36" s="30" t="n">
        <v>46392</v>
      </c>
      <c r="I36" s="29" t="s">
        <v>196</v>
      </c>
    </row>
    <row r="37" customFormat="false" ht="28.35" hidden="false" customHeight="false" outlineLevel="0" collapsed="false">
      <c r="A37" s="31" t="s">
        <v>197</v>
      </c>
      <c r="B37" s="31" t="s">
        <v>76</v>
      </c>
      <c r="C37" s="31" t="s">
        <v>99</v>
      </c>
      <c r="D37" s="32" t="s">
        <v>198</v>
      </c>
      <c r="E37" s="32" t="s">
        <v>199</v>
      </c>
      <c r="F37" s="32"/>
      <c r="G37" s="32"/>
      <c r="H37" s="33"/>
      <c r="I37" s="32" t="s">
        <v>200</v>
      </c>
    </row>
    <row r="38" customFormat="false" ht="28.35" hidden="false" customHeight="false" outlineLevel="0" collapsed="false">
      <c r="A38" s="31" t="s">
        <v>201</v>
      </c>
      <c r="B38" s="31" t="s">
        <v>76</v>
      </c>
      <c r="C38" s="31" t="s">
        <v>99</v>
      </c>
      <c r="D38" s="32" t="s">
        <v>202</v>
      </c>
      <c r="E38" s="32" t="s">
        <v>199</v>
      </c>
      <c r="F38" s="32"/>
      <c r="G38" s="32"/>
      <c r="H38" s="33"/>
      <c r="I38" s="32" t="s">
        <v>200</v>
      </c>
    </row>
    <row r="39" customFormat="false" ht="28.35" hidden="false" customHeight="false" outlineLevel="0" collapsed="false">
      <c r="A39" s="31" t="s">
        <v>203</v>
      </c>
      <c r="B39" s="31" t="s">
        <v>76</v>
      </c>
      <c r="C39" s="31" t="s">
        <v>99</v>
      </c>
      <c r="D39" s="32" t="s">
        <v>204</v>
      </c>
      <c r="E39" s="32" t="s">
        <v>199</v>
      </c>
      <c r="F39" s="32"/>
      <c r="G39" s="32"/>
      <c r="H39" s="33"/>
      <c r="I39" s="32" t="s">
        <v>200</v>
      </c>
    </row>
  </sheetData>
  <mergeCells count="1">
    <mergeCell ref="A1:I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  <col collapsed="false" customWidth="true" hidden="false" outlineLevel="0" max="3" min="3" style="0" width="54"/>
    <col collapsed="false" customWidth="true" hidden="false" outlineLevel="0" max="4" min="4" style="0" width="58"/>
  </cols>
  <sheetData>
    <row r="1" customFormat="false" ht="28" hidden="false" customHeight="true" outlineLevel="0" collapsed="false">
      <c r="A1" s="1" t="s">
        <v>205</v>
      </c>
      <c r="B1" s="1"/>
      <c r="C1" s="1"/>
      <c r="D1" s="1"/>
    </row>
    <row r="3" customFormat="false" ht="15" hidden="false" customHeight="false" outlineLevel="0" collapsed="false">
      <c r="A3" s="3" t="s">
        <v>206</v>
      </c>
      <c r="B3" s="3" t="s">
        <v>207</v>
      </c>
      <c r="C3" s="3" t="s">
        <v>208</v>
      </c>
      <c r="D3" s="3" t="s">
        <v>209</v>
      </c>
    </row>
    <row r="4" customFormat="false" ht="15" hidden="false" customHeight="false" outlineLevel="0" collapsed="false">
      <c r="A4" s="24" t="s">
        <v>210</v>
      </c>
      <c r="B4" s="24" t="s">
        <v>211</v>
      </c>
      <c r="C4" s="24" t="s">
        <v>212</v>
      </c>
      <c r="D4" s="24" t="s">
        <v>213</v>
      </c>
    </row>
    <row r="5" customFormat="false" ht="15" hidden="false" customHeight="false" outlineLevel="0" collapsed="false">
      <c r="A5" s="24" t="s">
        <v>210</v>
      </c>
      <c r="B5" s="24" t="s">
        <v>214</v>
      </c>
      <c r="C5" s="24" t="s">
        <v>215</v>
      </c>
      <c r="D5" s="24" t="s">
        <v>216</v>
      </c>
    </row>
    <row r="6" customFormat="false" ht="28.35" hidden="false" customHeight="false" outlineLevel="0" collapsed="false">
      <c r="A6" s="24" t="s">
        <v>99</v>
      </c>
      <c r="B6" s="24" t="s">
        <v>217</v>
      </c>
      <c r="C6" s="24" t="s">
        <v>198</v>
      </c>
      <c r="D6" s="24" t="s">
        <v>218</v>
      </c>
    </row>
    <row r="7" customFormat="false" ht="15" hidden="false" customHeight="false" outlineLevel="0" collapsed="false">
      <c r="A7" s="24" t="s">
        <v>99</v>
      </c>
      <c r="B7" s="24" t="s">
        <v>219</v>
      </c>
      <c r="C7" s="24" t="s">
        <v>202</v>
      </c>
      <c r="D7" s="24" t="s">
        <v>218</v>
      </c>
    </row>
    <row r="8" customFormat="false" ht="15" hidden="false" customHeight="false" outlineLevel="0" collapsed="false">
      <c r="A8" s="24" t="s">
        <v>99</v>
      </c>
      <c r="B8" s="24" t="s">
        <v>220</v>
      </c>
      <c r="C8" s="24" t="s">
        <v>204</v>
      </c>
      <c r="D8" s="24" t="s">
        <v>218</v>
      </c>
    </row>
    <row r="9" customFormat="false" ht="28.35" hidden="false" customHeight="false" outlineLevel="0" collapsed="false">
      <c r="A9" s="24" t="s">
        <v>100</v>
      </c>
      <c r="B9" s="24" t="s">
        <v>28</v>
      </c>
      <c r="C9" s="24" t="s">
        <v>154</v>
      </c>
      <c r="D9" s="24" t="s">
        <v>221</v>
      </c>
    </row>
    <row r="10" customFormat="false" ht="28.35" hidden="false" customHeight="false" outlineLevel="0" collapsed="false">
      <c r="A10" s="24" t="s">
        <v>100</v>
      </c>
      <c r="B10" s="24" t="s">
        <v>42</v>
      </c>
      <c r="C10" s="24" t="s">
        <v>171</v>
      </c>
      <c r="D10" s="24" t="s">
        <v>221</v>
      </c>
    </row>
    <row r="11" customFormat="false" ht="28.35" hidden="false" customHeight="false" outlineLevel="0" collapsed="false">
      <c r="A11" s="24" t="s">
        <v>100</v>
      </c>
      <c r="B11" s="24" t="s">
        <v>60</v>
      </c>
      <c r="C11" s="24" t="s">
        <v>183</v>
      </c>
      <c r="D11" s="24" t="s">
        <v>221</v>
      </c>
    </row>
    <row r="12" customFormat="false" ht="28.35" hidden="false" customHeight="false" outlineLevel="0" collapsed="false">
      <c r="A12" s="24" t="s">
        <v>100</v>
      </c>
      <c r="B12" s="24" t="s">
        <v>76</v>
      </c>
      <c r="C12" s="24" t="s">
        <v>195</v>
      </c>
      <c r="D12" s="24" t="s">
        <v>221</v>
      </c>
    </row>
    <row r="13" customFormat="false" ht="28.35" hidden="false" customHeight="false" outlineLevel="0" collapsed="false">
      <c r="A13" s="24" t="s">
        <v>222</v>
      </c>
      <c r="B13" s="24" t="s">
        <v>95</v>
      </c>
      <c r="C13" s="24" t="s">
        <v>223</v>
      </c>
      <c r="D13" s="24" t="s">
        <v>224</v>
      </c>
    </row>
    <row r="14" customFormat="false" ht="15" hidden="false" customHeight="false" outlineLevel="0" collapsed="false">
      <c r="A14" s="24" t="s">
        <v>222</v>
      </c>
      <c r="B14" s="24" t="s">
        <v>225</v>
      </c>
      <c r="C14" s="24" t="s">
        <v>226</v>
      </c>
      <c r="D14" s="24" t="s">
        <v>227</v>
      </c>
    </row>
    <row r="15" customFormat="false" ht="15" hidden="false" customHeight="false" outlineLevel="0" collapsed="false">
      <c r="A15" s="24" t="s">
        <v>222</v>
      </c>
      <c r="B15" s="24" t="s">
        <v>228</v>
      </c>
      <c r="C15" s="24" t="s">
        <v>229</v>
      </c>
      <c r="D15" s="24" t="s">
        <v>230</v>
      </c>
    </row>
    <row r="16" customFormat="false" ht="15" hidden="false" customHeight="false" outlineLevel="0" collapsed="false">
      <c r="A16" s="24" t="s">
        <v>222</v>
      </c>
      <c r="B16" s="24" t="s">
        <v>231</v>
      </c>
      <c r="C16" s="24" t="s">
        <v>232</v>
      </c>
      <c r="D16" s="24" t="s">
        <v>233</v>
      </c>
    </row>
    <row r="17" customFormat="false" ht="15" hidden="false" customHeight="false" outlineLevel="0" collapsed="false">
      <c r="A17" s="24" t="s">
        <v>222</v>
      </c>
      <c r="B17" s="24" t="s">
        <v>234</v>
      </c>
      <c r="C17" s="24" t="s">
        <v>235</v>
      </c>
      <c r="D17" s="24" t="s">
        <v>236</v>
      </c>
    </row>
    <row r="18" customFormat="false" ht="15" hidden="false" customHeight="false" outlineLevel="0" collapsed="false">
      <c r="A18" s="24" t="s">
        <v>222</v>
      </c>
      <c r="B18" s="24" t="s">
        <v>237</v>
      </c>
      <c r="C18" s="24" t="s">
        <v>238</v>
      </c>
      <c r="D18" s="24" t="s">
        <v>239</v>
      </c>
    </row>
    <row r="19" customFormat="false" ht="15" hidden="false" customHeight="false" outlineLevel="0" collapsed="false">
      <c r="A19" s="24" t="s">
        <v>222</v>
      </c>
      <c r="B19" s="24" t="s">
        <v>240</v>
      </c>
      <c r="C19" s="24" t="s">
        <v>241</v>
      </c>
      <c r="D19" s="24" t="s">
        <v>242</v>
      </c>
    </row>
    <row r="20" customFormat="false" ht="15" hidden="false" customHeight="false" outlineLevel="0" collapsed="false">
      <c r="A20" s="24" t="s">
        <v>222</v>
      </c>
      <c r="B20" s="24" t="s">
        <v>243</v>
      </c>
      <c r="C20" s="24" t="s">
        <v>244</v>
      </c>
      <c r="D20" s="24" t="s">
        <v>242</v>
      </c>
    </row>
    <row r="21" customFormat="false" ht="28.35" hidden="false" customHeight="false" outlineLevel="0" collapsed="false">
      <c r="A21" s="24" t="s">
        <v>245</v>
      </c>
      <c r="B21" s="24" t="s">
        <v>246</v>
      </c>
      <c r="C21" s="24" t="s">
        <v>247</v>
      </c>
      <c r="D21" s="24" t="s">
        <v>248</v>
      </c>
    </row>
  </sheetData>
  <mergeCells count="1">
    <mergeCell ref="A1:D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2026-09-15T03:13:34Z</dcterms:modified>
  <cp:revision>1</cp:revision>
  <dc:subject/>
  <dc:title/>
</cp:coreProperties>
</file>